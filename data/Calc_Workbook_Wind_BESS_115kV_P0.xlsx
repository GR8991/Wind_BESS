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13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egend" sheetId="1" state="visible" r:id="rId3"/>
    <sheet name="Inputs" sheetId="2" state="visible" r:id="rId4"/>
    <sheet name="WTG" sheetId="3" state="visible" r:id="rId5"/>
    <sheet name="Cable_Ampacity" sheetId="4" state="visible" r:id="rId6"/>
    <sheet name="Feeder_Sections" sheetId="5" state="visible" r:id="rId7"/>
    <sheet name="Cable_Sensitivity" sheetId="6" state="visible" r:id="rId8"/>
    <sheet name="SC_Withstand" sheetId="7" state="visible" r:id="rId9"/>
    <sheet name="BESS_Feeders" sheetId="8" state="visible" r:id="rId10"/>
    <sheet name="GSU_Sizing" sheetId="9" state="visible" r:id="rId11"/>
    <sheet name="Fault_Screening" sheetId="10" state="visible" r:id="rId12"/>
    <sheet name="Ratings" sheetId="11" state="visible" r:id="rId13"/>
    <sheet name="POI_Scenarios" sheetId="12" state="visible" r:id="rId14"/>
    <sheet name="Check" sheetId="13" state="visible" r:id="rId15"/>
  </sheets>
  <definedNames>
    <definedName function="false" hidden="false" name="ALPHA_AL" vbProcedure="false">Inputs!$C$31</definedName>
    <definedName function="false" hidden="false" name="AMP_LIST" vbProcedure="false">Cable_Ampacity!$Z$5:$Z$11</definedName>
    <definedName function="false" hidden="false" name="AUX" vbProcedure="false">Inputs!$C$53</definedName>
    <definedName function="false" hidden="false" name="DEPTH" vbProcedure="false">Inputs!$C$44</definedName>
    <definedName function="false" hidden="false" name="D_W" vbProcedure="false">Inputs!$C$35</definedName>
    <definedName function="false" hidden="false" name="EPS" vbProcedure="false">Inputs!$C$38</definedName>
    <definedName function="false" hidden="false" name="E_BESS" vbProcedure="false">Inputs!$C$20</definedName>
    <definedName function="false" hidden="false" name="FREQ" vbProcedure="false">Inputs!$C$47</definedName>
    <definedName function="false" hidden="false" name="GRP_AMP" vbProcedure="false">Cable_Ampacity!$AF$5:$AF$11</definedName>
    <definedName function="false" hidden="false" name="GSP" vbProcedure="false">Inputs!$C$48</definedName>
    <definedName function="false" hidden="false" name="K_DFIG" vbProcedure="false">Inputs!$C$27</definedName>
    <definedName function="false" hidden="false" name="K_IBR" vbProcedure="false">Inputs!$C$28</definedName>
    <definedName function="false" hidden="false" name="K_STR" vbProcedure="false">Inputs!$C$30</definedName>
    <definedName function="false" hidden="false" name="LOSS_B" vbProcedure="false">Inputs!$C$52</definedName>
    <definedName function="false" hidden="false" name="LOSS_W" vbProcedure="false">Inputs!$C$51</definedName>
    <definedName function="false" hidden="false" name="L_HR" vbProcedure="false">Inputs!$C$50</definedName>
    <definedName function="false" hidden="false" name="L_INT" vbProcedure="false">Inputs!$C$49</definedName>
    <definedName function="false" hidden="false" name="N_BF" vbProcedure="false">Inputs!$C$22</definedName>
    <definedName function="false" hidden="false" name="N_F1" vbProcedure="false">Inputs!$C$12</definedName>
    <definedName function="false" hidden="false" name="N_F2" vbProcedure="false">Inputs!$C$13</definedName>
    <definedName function="false" hidden="false" name="N_F3" vbProcedure="false">Inputs!$C$14</definedName>
    <definedName function="false" hidden="false" name="N_F4" vbProcedure="false">Inputs!$C$15</definedName>
    <definedName function="false" hidden="false" name="N_W" vbProcedure="false">Inputs!$C$36</definedName>
    <definedName function="false" hidden="false" name="N_WTG" vbProcedure="false">Inputs!$C$5</definedName>
    <definedName function="false" hidden="false" name="PCU_GSU" vbProcedure="false">Inputs!$C$25</definedName>
    <definedName function="false" hidden="false" name="PF_BESS" vbProcedure="false">Inputs!$C$21</definedName>
    <definedName function="false" hidden="false" name="PF_POI" vbProcedure="false">Inputs!$C$18</definedName>
    <definedName function="false" hidden="false" name="PF_WTG" vbProcedure="false">Inputs!$C$7</definedName>
    <definedName function="false" hidden="false" name="P_BESS" vbProcedure="false">Inputs!$C$19</definedName>
    <definedName function="false" hidden="false" name="P_EXP" vbProcedure="false">Inputs!$C$16</definedName>
    <definedName function="false" hidden="false" name="P_IMP" vbProcedure="false">Inputs!$C$17</definedName>
    <definedName function="false" hidden="false" name="P_WTG" vbProcedure="false">Inputs!$C$6</definedName>
    <definedName function="false" hidden="false" name="RAC_LIST" vbProcedure="false">Cable_Ampacity!$AC$5:$AC$11</definedName>
    <definedName function="false" hidden="false" name="RHO_AL" vbProcedure="false">Inputs!$C$29</definedName>
    <definedName function="false" hidden="false" name="RHO_I" vbProcedure="false">Inputs!$C$40</definedName>
    <definedName function="false" hidden="false" name="RHO_J" vbProcedure="false">Inputs!$C$41</definedName>
    <definedName function="false" hidden="false" name="RHO_S" vbProcedure="false">Inputs!$C$42</definedName>
    <definedName function="false" hidden="false" name="SIZE_LIST" vbProcedure="false">Cable_Ampacity!$A$5:$A$11</definedName>
    <definedName function="false" hidden="false" name="S_GSU" vbProcedure="false">Inputs!$C$23</definedName>
    <definedName function="false" hidden="false" name="S_SC" vbProcedure="false">Inputs!$C$26</definedName>
    <definedName function="false" hidden="false" name="TAND" vbProcedure="false">Inputs!$C$39</definedName>
    <definedName function="false" hidden="false" name="T_AMB" vbProcedure="false">Inputs!$C$43</definedName>
    <definedName function="false" hidden="false" name="T_CS" vbProcedure="false">Inputs!$C$33</definedName>
    <definedName function="false" hidden="false" name="T_INS" vbProcedure="false">Inputs!$C$32</definedName>
    <definedName function="false" hidden="false" name="T_IS" vbProcedure="false">Inputs!$C$34</definedName>
    <definedName function="false" hidden="false" name="T_J" vbProcedure="false">Inputs!$C$37</definedName>
    <definedName function="false" hidden="false" name="T_MAX" vbProcedure="false">Inputs!$C$45</definedName>
    <definedName function="false" hidden="false" name="T_SCR" vbProcedure="false">Inputs!$C$46</definedName>
    <definedName function="false" hidden="false" name="V_HV" vbProcedure="false">Inputs!$C$10</definedName>
    <definedName function="false" hidden="false" name="V_LV" vbProcedure="false">Inputs!$C$8</definedName>
    <definedName function="false" hidden="false" name="V_MIN" vbProcedure="false">Inputs!$C$11</definedName>
    <definedName function="false" hidden="false" name="V_MV" vbProcedure="false">Inputs!$C$9</definedName>
    <definedName function="false" hidden="false" name="X_LIST" vbProcedure="false">Cable_Ampacity!$AD$5:$AD$11</definedName>
    <definedName function="false" hidden="false" name="Z_GSU" vbProcedure="false">Inputs!$C$24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<sst xmlns="http://schemas.openxmlformats.org/spreadsheetml/2006/main" count="694" uniqueCount="494">
  <si>
    <t xml:space="preserve">Wind + BESS 115 kV Interconnection — Calculation Workbook</t>
  </si>
  <si>
    <t xml:space="preserve">PRELIMINARY ENGINEERING — NOT FOR CONSTRUCTION | Rev P0 | 2026-10-13</t>
  </si>
  <si>
    <t xml:space="preserve">Purpose</t>
  </si>
  <si>
    <t xml:space="preserve">Traceable formulas supporting the preliminary engineering report (Appendix A).</t>
  </si>
  <si>
    <t xml:space="preserve">Blue text</t>
  </si>
  <si>
    <t xml:space="preserve">Hard-coded inputs (edit only on sheet "Inputs").</t>
  </si>
  <si>
    <t xml:space="preserve">Black text</t>
  </si>
  <si>
    <t xml:space="preserve">Formulas — do not overwrite.</t>
  </si>
  <si>
    <t xml:space="preserve">Yellow fill</t>
  </si>
  <si>
    <t xml:space="preserve">Engineering assumption / parametric value requiring OEM, site or utility confirmation.</t>
  </si>
  <si>
    <t xml:space="preserve">Green fill</t>
  </si>
  <si>
    <t xml:space="preserve">Frozen project data supplied by the client.</t>
  </si>
  <si>
    <t xml:space="preserve">Flags</t>
  </si>
  <si>
    <t xml:space="preserve">F = frozen project data | A = engineering assumption | P = parametric/illustrative | O = OEM to confirm | U = utility to confirm</t>
  </si>
  <si>
    <t xml:space="preserve">Independent check</t>
  </si>
  <si>
    <t xml:space="preserve">Sheet "Check" compares each key workbook result with the separate Python engine (calc.py). |Δ| must be &lt; 0.5 %.</t>
  </si>
  <si>
    <t xml:space="preserve">Status</t>
  </si>
  <si>
    <t xml:space="preserve">No site cable lengths, soil thermal data, utility fault levels, OEM impedances or PCS data were available. Values depending on these are screening values only.</t>
  </si>
  <si>
    <t xml:space="preserve">Inputs</t>
  </si>
  <si>
    <t xml:space="preserve">Parameter</t>
  </si>
  <si>
    <t xml:space="preserve">Symbol</t>
  </si>
  <si>
    <t xml:space="preserve">Value</t>
  </si>
  <si>
    <t xml:space="preserve">Unit</t>
  </si>
  <si>
    <t xml:space="preserve">Flag</t>
  </si>
  <si>
    <t xml:space="preserve">Basis / source</t>
  </si>
  <si>
    <t xml:space="preserve">Number of WTGs</t>
  </si>
  <si>
    <t xml:space="preserve">N_WTG</t>
  </si>
  <si>
    <t xml:space="preserve">-</t>
  </si>
  <si>
    <t xml:space="preserve">F</t>
  </si>
  <si>
    <t xml:space="preserve">Client frozen data</t>
  </si>
  <si>
    <t xml:space="preserve">WTG rated active power</t>
  </si>
  <si>
    <t xml:space="preserve">P_WTG</t>
  </si>
  <si>
    <t xml:space="preserve">MW</t>
  </si>
  <si>
    <t xml:space="preserve">Client frozen data (GE Vernova DFIG; model TBC by OEM)</t>
  </si>
  <si>
    <t xml:space="preserve">WTG reactive capability at rated P (PF)</t>
  </si>
  <si>
    <t xml:space="preserve">PF_WTG</t>
  </si>
  <si>
    <t xml:space="preserve">A/O</t>
  </si>
  <si>
    <t xml:space="preserve">Screening for kVA/current sizing; confirm GE Vernova P-Q capability chart</t>
  </si>
  <si>
    <t xml:space="preserve">WTG LV voltage</t>
  </si>
  <si>
    <t xml:space="preserve">V_LV</t>
  </si>
  <si>
    <t xml:space="preserve">kV</t>
  </si>
  <si>
    <t xml:space="preserve">Collector voltage</t>
  </si>
  <si>
    <t xml:space="preserve">V_MV</t>
  </si>
  <si>
    <t xml:space="preserve">POI voltage</t>
  </si>
  <si>
    <t xml:space="preserve">V_HV</t>
  </si>
  <si>
    <t xml:space="preserve">Minimum steady-state voltage for current sizing</t>
  </si>
  <si>
    <t xml:space="preserve">V_MIN</t>
  </si>
  <si>
    <t xml:space="preserve">pu</t>
  </si>
  <si>
    <t xml:space="preserve">A</t>
  </si>
  <si>
    <t xml:space="preserve">Screening; confirm with load-flow and SoCo voltage schedule</t>
  </si>
  <si>
    <t xml:space="preserve">WTGs on WF-01</t>
  </si>
  <si>
    <t xml:space="preserve">N_F1</t>
  </si>
  <si>
    <t xml:space="preserve">Client</t>
  </si>
  <si>
    <t xml:space="preserve">WTGs on WF-02</t>
  </si>
  <si>
    <t xml:space="preserve">N_F2</t>
  </si>
  <si>
    <t xml:space="preserve">WTGs on WF-03</t>
  </si>
  <si>
    <t xml:space="preserve">N_F3</t>
  </si>
  <si>
    <t xml:space="preserve">WTGs on WF-04</t>
  </si>
  <si>
    <t xml:space="preserve">N_F4</t>
  </si>
  <si>
    <t xml:space="preserve">POI export limit</t>
  </si>
  <si>
    <t xml:space="preserve">P_EXP</t>
  </si>
  <si>
    <t xml:space="preserve">POI import limit</t>
  </si>
  <si>
    <t xml:space="preserve">P_IMP</t>
  </si>
  <si>
    <t xml:space="preserve">POI reactive requirement (PF)</t>
  </si>
  <si>
    <t xml:space="preserve">PF_POI</t>
  </si>
  <si>
    <t xml:space="preserve">A/U</t>
  </si>
  <si>
    <t xml:space="preserve">FERC Order 827 pro-forma LGIA ±0.95 at high side of generator substation unless SoCo specifies otherwise</t>
  </si>
  <si>
    <t xml:space="preserve">BESS rated power</t>
  </si>
  <si>
    <t xml:space="preserve">P_BESS</t>
  </si>
  <si>
    <t xml:space="preserve">BESS energy</t>
  </si>
  <si>
    <t xml:space="preserve">E_BESS</t>
  </si>
  <si>
    <t xml:space="preserve">MWh</t>
  </si>
  <si>
    <t xml:space="preserve">BESS PF at MV for feeder sizing</t>
  </si>
  <si>
    <t xml:space="preserve">PF_BESS</t>
  </si>
  <si>
    <t xml:space="preserve">PCS configuration not provided — replace with actual PCS MVA</t>
  </si>
  <si>
    <t xml:space="preserve">Number of BESS feeders</t>
  </si>
  <si>
    <t xml:space="preserve">N_BF</t>
  </si>
  <si>
    <t xml:space="preserve">Client (existing design, unchanged)</t>
  </si>
  <si>
    <t xml:space="preserve">GSU candidate top rating</t>
  </si>
  <si>
    <t xml:space="preserve">S_GSU</t>
  </si>
  <si>
    <t xml:space="preserve">MVA</t>
  </si>
  <si>
    <t xml:space="preserve">P</t>
  </si>
  <si>
    <t xml:space="preserve">Candidate only — not an approved selection</t>
  </si>
  <si>
    <t xml:space="preserve">GSU impedance (on S_GSU base)</t>
  </si>
  <si>
    <t xml:space="preserve">Z_GSU</t>
  </si>
  <si>
    <t xml:space="preserve">Parametric; range 0.08–0.12 evaluated; transformer vendor/utility study</t>
  </si>
  <si>
    <t xml:space="preserve">GSU load loss at S_GSU</t>
  </si>
  <si>
    <t xml:space="preserve">PCU_GSU</t>
  </si>
  <si>
    <t xml:space="preserve">Screening; replace with vendor guarantee</t>
  </si>
  <si>
    <t xml:space="preserve">Grid short-circuit level at 115 kV</t>
  </si>
  <si>
    <t xml:space="preserve">S_SC</t>
  </si>
  <si>
    <t xml:space="preserve">NOT PROVIDED by utility — parametric (∞ also evaluated)</t>
  </si>
  <si>
    <t xml:space="preserve">DFIG fault multiplier (bounding)</t>
  </si>
  <si>
    <t xml:space="preserve">K_DFIG</t>
  </si>
  <si>
    <t xml:space="preserve">Bounding screening value; GE Vernova to provide fault-current data</t>
  </si>
  <si>
    <t xml:space="preserve">BESS PCS fault multiplier</t>
  </si>
  <si>
    <t xml:space="preserve">K_IBR</t>
  </si>
  <si>
    <t xml:space="preserve">Typical IBR current limit; PCS OEM to confirm</t>
  </si>
  <si>
    <t xml:space="preserve">Al resistivity at 20 °C</t>
  </si>
  <si>
    <t xml:space="preserve">RHO_AL</t>
  </si>
  <si>
    <t xml:space="preserve">Ω·m</t>
  </si>
  <si>
    <t xml:space="preserve">IEC 60028 / ASTM B609 1350 Al</t>
  </si>
  <si>
    <t xml:space="preserve">Stranding/compaction factor</t>
  </si>
  <si>
    <t xml:space="preserve">K_STR</t>
  </si>
  <si>
    <t xml:space="preserve">Screening</t>
  </si>
  <si>
    <t xml:space="preserve">Al temperature coefficient</t>
  </si>
  <si>
    <t xml:space="preserve">ALPHA_AL</t>
  </si>
  <si>
    <t xml:space="preserve">1/°C</t>
  </si>
  <si>
    <t xml:space="preserve">IEC 60287-1-1 Table 1</t>
  </si>
  <si>
    <t xml:space="preserve">Insulation thickness (35 kV, 133 %)</t>
  </si>
  <si>
    <t xml:space="preserve">T_INS</t>
  </si>
  <si>
    <t xml:space="preserve">mm</t>
  </si>
  <si>
    <t xml:space="preserve">ICEA S-94-649 420 mil; 100 % level (345 mil) is an alternative open item</t>
  </si>
  <si>
    <t xml:space="preserve">Conductor screen thickness</t>
  </si>
  <si>
    <t xml:space="preserve">T_CS</t>
  </si>
  <si>
    <t xml:space="preserve">Typical</t>
  </si>
  <si>
    <t xml:space="preserve">Insulation screen thickness</t>
  </si>
  <si>
    <t xml:space="preserve">T_IS</t>
  </si>
  <si>
    <t xml:space="preserve">Concentric neutral wire diameter (#12 AWG)</t>
  </si>
  <si>
    <t xml:space="preserve">D_W</t>
  </si>
  <si>
    <t xml:space="preserve">Number of neutral wires</t>
  </si>
  <si>
    <t xml:space="preserve">N_W</t>
  </si>
  <si>
    <t xml:space="preserve">≈36 mm² Cu; fault rating to be confirmed</t>
  </si>
  <si>
    <t xml:space="preserve">Jacket thickness</t>
  </si>
  <si>
    <t xml:space="preserve">T_J</t>
  </si>
  <si>
    <t xml:space="preserve">80 mil LLDPE</t>
  </si>
  <si>
    <t xml:space="preserve">Insulation relative permittivity</t>
  </si>
  <si>
    <t xml:space="preserve">EPS</t>
  </si>
  <si>
    <t xml:space="preserve">IEC 60287-1-1 (XLPE/TR-XLPE)</t>
  </si>
  <si>
    <t xml:space="preserve">Dielectric loss factor tanδ</t>
  </si>
  <si>
    <t xml:space="preserve">TAND</t>
  </si>
  <si>
    <t xml:space="preserve">IEC 60287-1-1</t>
  </si>
  <si>
    <t xml:space="preserve">Insulation thermal resistivity</t>
  </si>
  <si>
    <t xml:space="preserve">RHO_I</t>
  </si>
  <si>
    <t xml:space="preserve">K·m/W</t>
  </si>
  <si>
    <t xml:space="preserve">IEC 60287-2-1</t>
  </si>
  <si>
    <t xml:space="preserve">Jacket thermal resistivity</t>
  </si>
  <si>
    <t xml:space="preserve">RHO_J</t>
  </si>
  <si>
    <t xml:space="preserve">Native soil thermal resistivity (design)</t>
  </si>
  <si>
    <t xml:space="preserve">RHO_S</t>
  </si>
  <si>
    <t xml:space="preserve">NO SITE DATA — thermal survey (IEEE 442) required; sensitivity 0.9–2.0 shown</t>
  </si>
  <si>
    <t xml:space="preserve">Ambient earth temperature at burial depth</t>
  </si>
  <si>
    <t xml:space="preserve">T_AMB</t>
  </si>
  <si>
    <t xml:space="preserve">°C</t>
  </si>
  <si>
    <t xml:space="preserve">NO SITE DATA — confirm</t>
  </si>
  <si>
    <t xml:space="preserve">Burial depth to trefoil centre</t>
  </si>
  <si>
    <t xml:space="preserve">DEPTH</t>
  </si>
  <si>
    <t xml:space="preserve">m</t>
  </si>
  <si>
    <t xml:space="preserve">≥ NESC minimum cover; confirm</t>
  </si>
  <si>
    <t xml:space="preserve">Conductor max operating temperature</t>
  </si>
  <si>
    <t xml:space="preserve">T_MAX</t>
  </si>
  <si>
    <t xml:space="preserve">ICEA S-94-649 XLPE/EPR</t>
  </si>
  <si>
    <t xml:space="preserve">Screen operating temperature</t>
  </si>
  <si>
    <t xml:space="preserve">T_SCR</t>
  </si>
  <si>
    <t xml:space="preserve">Frequency</t>
  </si>
  <si>
    <t xml:space="preserve">FREQ</t>
  </si>
  <si>
    <t xml:space="preserve">Hz</t>
  </si>
  <si>
    <t xml:space="preserve">US grid</t>
  </si>
  <si>
    <t xml:space="preserve">Grouped-corridor circuit spacing (4 trefoils, flat)</t>
  </si>
  <si>
    <t xml:space="preserve">GSP</t>
  </si>
  <si>
    <t xml:space="preserve">Substation approach corridor; confirm with layout</t>
  </si>
  <si>
    <t xml:space="preserve">Illustrative inter-WTG section length</t>
  </si>
  <si>
    <t xml:space="preserve">L_INT</t>
  </si>
  <si>
    <t xml:space="preserve">km</t>
  </si>
  <si>
    <t xml:space="preserve">ILLUSTRATIVE = 4 × 154 m rotor; NOT SITE DATA</t>
  </si>
  <si>
    <t xml:space="preserve">Illustrative home-run length</t>
  </si>
  <si>
    <t xml:space="preserve">L_HR</t>
  </si>
  <si>
    <t xml:space="preserve">ILLUSTRATIVE; NOT SITE DATA</t>
  </si>
  <si>
    <t xml:space="preserve">Internal loss fraction — wind path to POI</t>
  </si>
  <si>
    <t xml:space="preserve">LOSS_W</t>
  </si>
  <si>
    <t xml:space="preserve">Screening for scenarios</t>
  </si>
  <si>
    <t xml:space="preserve">Internal loss fraction — BESS path to POI</t>
  </si>
  <si>
    <t xml:space="preserve">LOSS_B</t>
  </si>
  <si>
    <t xml:space="preserve">Auxiliary/station load</t>
  </si>
  <si>
    <t xml:space="preserve">AUX</t>
  </si>
  <si>
    <t xml:space="preserve">Placeholder pending aux load list (incl. BESS HVAC)</t>
  </si>
  <si>
    <t xml:space="preserve">WTG electrical quantities and step-up transformer kVA</t>
  </si>
  <si>
    <t xml:space="preserve">Quantity</t>
  </si>
  <si>
    <t xml:space="preserve">Equation</t>
  </si>
  <si>
    <t xml:space="preserve">Apparent power S_WTG</t>
  </si>
  <si>
    <t xml:space="preserve">S = P / PF</t>
  </si>
  <si>
    <t xml:space="preserve">Reactive power Q_WTG</t>
  </si>
  <si>
    <t xml:space="preserve">Q = √(S²−P²)</t>
  </si>
  <si>
    <t xml:space="preserve">Mvar</t>
  </si>
  <si>
    <t xml:space="preserve">LV current, unity PF</t>
  </si>
  <si>
    <t xml:space="preserve">I = P/(√3·V)</t>
  </si>
  <si>
    <t xml:space="preserve">LV current at S_WTG</t>
  </si>
  <si>
    <t xml:space="preserve">I = S/(√3·V)</t>
  </si>
  <si>
    <t xml:space="preserve">LV current at S_WTG, V_MIN</t>
  </si>
  <si>
    <t xml:space="preserve">I = S/(√3·V·Vpu)</t>
  </si>
  <si>
    <t xml:space="preserve">MV current, unity PF</t>
  </si>
  <si>
    <t xml:space="preserve">I = P/(√3·34.5 kV)</t>
  </si>
  <si>
    <t xml:space="preserve">MV current at S_WTG</t>
  </si>
  <si>
    <t xml:space="preserve">MV current at S_WTG, V_MIN</t>
  </si>
  <si>
    <t xml:space="preserve">Minimum WTG transformer rating</t>
  </si>
  <si>
    <t xml:space="preserve">S_T ≥ S_WTG (+aux, harmonics per OEM)</t>
  </si>
  <si>
    <t xml:space="preserve">Gross wind P</t>
  </si>
  <si>
    <t xml:space="preserve">ΣP</t>
  </si>
  <si>
    <t xml:space="preserve">Gross wind S</t>
  </si>
  <si>
    <t xml:space="preserve">ΣS</t>
  </si>
  <si>
    <t xml:space="preserve">Gross wind MV current</t>
  </si>
  <si>
    <t xml:space="preserve">Cable parameters &amp; IEC 60287 steady-state ampacity — 35 kV Al, 3×1C trefoil touching, direct buried, solidly bonded</t>
  </si>
  <si>
    <t xml:space="preserve">Size</t>
  </si>
  <si>
    <t xml:space="preserve">A (mm²)</t>
  </si>
  <si>
    <t xml:space="preserve">dc (mm)</t>
  </si>
  <si>
    <t xml:space="preserve">R20 (Ω/m)</t>
  </si>
  <si>
    <t xml:space="preserve">R'90 (Ω/m)</t>
  </si>
  <si>
    <t xml:space="preserve">xs⁴</t>
  </si>
  <si>
    <t xml:space="preserve">ys</t>
  </si>
  <si>
    <t xml:space="preserve">xp⁴</t>
  </si>
  <si>
    <t xml:space="preserve">dc/s</t>
  </si>
  <si>
    <t xml:space="preserve">yp</t>
  </si>
  <si>
    <t xml:space="preserve">Rac90 (Ω/m)</t>
  </si>
  <si>
    <t xml:space="preserve">Di (mm)</t>
  </si>
  <si>
    <t xml:space="preserve">dS (mm)</t>
  </si>
  <si>
    <t xml:space="preserve">Da (mm)</t>
  </si>
  <si>
    <t xml:space="preserve">De (mm)</t>
  </si>
  <si>
    <t xml:space="preserve">C (F/m)</t>
  </si>
  <si>
    <t xml:space="preserve">Wd (W/m)</t>
  </si>
  <si>
    <t xml:space="preserve">As (mm²)</t>
  </si>
  <si>
    <t xml:space="preserve">Rs (Ω/m)</t>
  </si>
  <si>
    <t xml:space="preserve">Xs (Ω/m)</t>
  </si>
  <si>
    <t xml:space="preserve">λ1</t>
  </si>
  <si>
    <t xml:space="preserve">T1</t>
  </si>
  <si>
    <t xml:space="preserve">T3</t>
  </si>
  <si>
    <t xml:space="preserve">u</t>
  </si>
  <si>
    <t xml:space="preserve">T4</t>
  </si>
  <si>
    <t xml:space="preserve">Ampacity (A)</t>
  </si>
  <si>
    <t xml:space="preserve">X (Ω/m)</t>
  </si>
  <si>
    <t xml:space="preserve">Qc (kvar/km)</t>
  </si>
  <si>
    <t xml:space="preserve">Rac (Ω/km)</t>
  </si>
  <si>
    <t xml:space="preserve">X (Ω/km)</t>
  </si>
  <si>
    <t xml:space="preserve">T4 grouped</t>
  </si>
  <si>
    <t xml:space="preserve">Ampacity grouped (A)</t>
  </si>
  <si>
    <t xml:space="preserve">1/0 AWG</t>
  </si>
  <si>
    <t xml:space="preserve">4/0 AWG</t>
  </si>
  <si>
    <t xml:space="preserve">350 kcmil</t>
  </si>
  <si>
    <t xml:space="preserve">500 kcmil</t>
  </si>
  <si>
    <t xml:space="preserve">750 kcmil</t>
  </si>
  <si>
    <t xml:space="preserve">1000 kcmil</t>
  </si>
  <si>
    <t xml:space="preserve">1250 kcmil</t>
  </si>
  <si>
    <t xml:space="preserve">Notes</t>
  </si>
  <si>
    <t xml:space="preserve">Method: IEC 60287-1-1 (losses) and IEC 60287-2-1 (thermal resistances, T4 for equally loaded trefoil touching: T4 = 1.5/π·ρ·[ln(2u) − 0.630]).</t>
  </si>
  <si>
    <t xml:space="preserve">100 % load factor assumed (conservative). Wind cyclic rating per IEC 60853 / Neher-McGrath with site LF may justify higher ratings — to be done in CYMCAP/ETAP.</t>
  </si>
  <si>
    <t xml:space="preserve">λ1 = circulating-current loss factor for solidly bonded concentric neutrals; eddy losses neglected for wire screens.</t>
  </si>
  <si>
    <t xml:space="preserve">Results are SCREENING ONLY: soil thermal resistivity, ambient, depth and duct-bank/crossing hot-spots are not yet known.</t>
  </si>
  <si>
    <t xml:space="preserve">Collector feeder cumulative section currents, minimum conductor size, illustrative voltage drop &amp; losses</t>
  </si>
  <si>
    <t xml:space="preserve">Feeder</t>
  </si>
  <si>
    <t xml:space="preserve">Section #</t>
  </si>
  <si>
    <t xml:space="preserve">From node</t>
  </si>
  <si>
    <t xml:space="preserve">WTGs carried k</t>
  </si>
  <si>
    <t xml:space="preserve">P (MW)</t>
  </si>
  <si>
    <t xml:space="preserve">S (MVA)</t>
  </si>
  <si>
    <t xml:space="preserve">I @1.0 pu (A)</t>
  </si>
  <si>
    <t xml:space="preserve">I @V_MIN (A)</t>
  </si>
  <si>
    <t xml:space="preserve">Min. size (ampacity ≥ I@V_MIN; home-run: grouped)</t>
  </si>
  <si>
    <t xml:space="preserve">Loading %</t>
  </si>
  <si>
    <t xml:space="preserve">Illustr. L (km)</t>
  </si>
  <si>
    <t xml:space="preserve">ΔV (%)</t>
  </si>
  <si>
    <t xml:space="preserve">Loss (kW)</t>
  </si>
  <si>
    <t xml:space="preserve">WF-01</t>
  </si>
  <si>
    <t xml:space="preserve">WF-01-T07 → WF-01-T06</t>
  </si>
  <si>
    <t xml:space="preserve">WF-01-T06 → WF-01-T05</t>
  </si>
  <si>
    <t xml:space="preserve">WF-01-T05 → WF-01-T04</t>
  </si>
  <si>
    <t xml:space="preserve">WF-01-T04 → WF-01-T03</t>
  </si>
  <si>
    <t xml:space="preserve">WF-01-T03 → WF-01-T02</t>
  </si>
  <si>
    <t xml:space="preserve">WF-01-T02 → WF-01-T01</t>
  </si>
  <si>
    <t xml:space="preserve">WF-01-T01 → SUBSTATION 34.5 kV BUS</t>
  </si>
  <si>
    <t xml:space="preserve">WF-01 TOTAL</t>
  </si>
  <si>
    <t xml:space="preserve">WF-02</t>
  </si>
  <si>
    <t xml:space="preserve">WF-02-T07 → WF-02-T06</t>
  </si>
  <si>
    <t xml:space="preserve">WF-02-T06 → WF-02-T05</t>
  </si>
  <si>
    <t xml:space="preserve">WF-02-T05 → WF-02-T04</t>
  </si>
  <si>
    <t xml:space="preserve">WF-02-T04 → WF-02-T03</t>
  </si>
  <si>
    <t xml:space="preserve">WF-02-T03 → WF-02-T02</t>
  </si>
  <si>
    <t xml:space="preserve">WF-02-T02 → WF-02-T01</t>
  </si>
  <si>
    <t xml:space="preserve">WF-02-T01 → SUBSTATION 34.5 kV BUS</t>
  </si>
  <si>
    <t xml:space="preserve">WF-02 TOTAL</t>
  </si>
  <si>
    <t xml:space="preserve">WF-03</t>
  </si>
  <si>
    <t xml:space="preserve">WF-03-T07 → WF-03-T06</t>
  </si>
  <si>
    <t xml:space="preserve">WF-03-T06 → WF-03-T05</t>
  </si>
  <si>
    <t xml:space="preserve">WF-03-T05 → WF-03-T04</t>
  </si>
  <si>
    <t xml:space="preserve">WF-03-T04 → WF-03-T03</t>
  </si>
  <si>
    <t xml:space="preserve">WF-03-T03 → WF-03-T02</t>
  </si>
  <si>
    <t xml:space="preserve">WF-03-T02 → WF-03-T01</t>
  </si>
  <si>
    <t xml:space="preserve">WF-03-T01 → SUBSTATION 34.5 kV BUS</t>
  </si>
  <si>
    <t xml:space="preserve">WF-03 TOTAL</t>
  </si>
  <si>
    <t xml:space="preserve">WF-04</t>
  </si>
  <si>
    <t xml:space="preserve">WF-04-T06 → WF-04-T05</t>
  </si>
  <si>
    <t xml:space="preserve">WF-04-T05 → WF-04-T04</t>
  </si>
  <si>
    <t xml:space="preserve">WF-04-T04 → WF-04-T03</t>
  </si>
  <si>
    <t xml:space="preserve">WF-04-T03 → WF-04-T02</t>
  </si>
  <si>
    <t xml:space="preserve">WF-04-T02 → WF-04-T01</t>
  </si>
  <si>
    <t xml:space="preserve">WF-04-T01 → SUBSTATION 34.5 kV BUS</t>
  </si>
  <si>
    <t xml:space="preserve">WF-04 TOTAL</t>
  </si>
  <si>
    <t xml:space="preserve">Sum of feeder P (MW)</t>
  </si>
  <si>
    <t xml:space="preserve">Sum of feeder I @1.0 pu (A)</t>
  </si>
  <si>
    <t xml:space="preserve">WTG count check</t>
  </si>
  <si>
    <t xml:space="preserve">Section k carries k WTGs; k = n is the home-run into the substation. ΔV is the steady-state voltage rise from the bus to the remote WTG at PF_WTG (lagging export).</t>
  </si>
  <si>
    <t xml:space="preserve">Home-run sizing within the substation approach corridor is governed by mutual heating — home-run (k = n) is sized against the 4-circuit/2.0 m grouped ampacity on sheet "Cable_Sensitivity" (named range GRP_AMP).</t>
  </si>
  <si>
    <t xml:space="preserve">Lengths are ILLUSTRATIVE ONLY (no layout provided). Replace L_INT/L_HR or enter per-section lengths in column L when the layout is issued.</t>
  </si>
  <si>
    <t xml:space="preserve">Ampacity sensitivity to soil resistivity and 4-circuit grouping (computed by calc.py — same IEC 60287 model)</t>
  </si>
  <si>
    <t xml:space="preserve">Case</t>
  </si>
  <si>
    <t xml:space="preserve">Single circuit, ρ = 0.9 K·m/W</t>
  </si>
  <si>
    <t xml:space="preserve">Single circuit, ρ = 1.0 K·m/W</t>
  </si>
  <si>
    <t xml:space="preserve">Single circuit, ρ = 1.2 K·m/W</t>
  </si>
  <si>
    <t xml:space="preserve">Single circuit, ρ = 1.5 K·m/W</t>
  </si>
  <si>
    <t xml:space="preserve">Single circuit, ρ = 2.0 K·m/W</t>
  </si>
  <si>
    <t xml:space="preserve">4 trefoils flat, 1.0 m spacing, ρ = 1.2 (centre circuit)</t>
  </si>
  <si>
    <t xml:space="preserve">4 trefoils flat, 2.0 m spacing, ρ = 1.2 (centre circuit)</t>
  </si>
  <si>
    <t xml:space="preserve">4 trefoils flat, 3.0 m spacing, ρ = 1.2 (centre circuit)</t>
  </si>
  <si>
    <t xml:space="preserve">Values in amperes; 90 °C conductor, 25 °C ambient, 1.0 m depth, 100 % LF. Static values — regenerate with calc.py if inputs change.</t>
  </si>
  <si>
    <t xml:space="preserve">Short-circuit withstand — ICEA P-32-382 adiabatic method</t>
  </si>
  <si>
    <t xml:space="preserve">Conductor (Al): (I/A)²·t = 0.0125·log10[(T2+228)/(T1+228)], A in cmil, T1 = 90 °C, T2 = 250 °C</t>
  </si>
  <si>
    <t xml:space="preserve">Screen (Cu), ICEA P-45-482 simplified adiabatic: (I/A)²·t = 0.0297·log10[(T2+234)/(T1+234)], T1 = 80 °C, T2 = 200 °C (jacket-limited, confirm with vendor)</t>
  </si>
  <si>
    <t xml:space="preserve">A (kcmil)</t>
  </si>
  <si>
    <t xml:space="preserve">I @0.10 s (kA)</t>
  </si>
  <si>
    <t xml:space="preserve">I @0.25 s (kA)</t>
  </si>
  <si>
    <t xml:space="preserve">I @0.50 s (kA)</t>
  </si>
  <si>
    <t xml:space="preserve">I @1.0 s (kA)</t>
  </si>
  <si>
    <t xml:space="preserve">Screen withstand (kA) for As (mm²) =</t>
  </si>
  <si>
    <t xml:space="preserve">t = 0.10 s</t>
  </si>
  <si>
    <t xml:space="preserve">t = 0.25 s</t>
  </si>
  <si>
    <t xml:space="preserve">t = 0.50 s</t>
  </si>
  <si>
    <t xml:space="preserve">t = 1.0 s</t>
  </si>
  <si>
    <t xml:space="preserve">Required Cu screen area (mm²)</t>
  </si>
  <si>
    <t xml:space="preserve">I_fault (kA)</t>
  </si>
  <si>
    <t xml:space="preserve">Ground-fault current at the 34.5 kV bus and its division between screen, counterpoise and earth are NOT KNOWN — requires short-circuit study and grounding-transformer selection.</t>
  </si>
  <si>
    <t xml:space="preserve">BESS feeder currents (4 existing feeders) — PCS configuration not provided</t>
  </si>
  <si>
    <t xml:space="preserve">BESS S at MV (screening)</t>
  </si>
  <si>
    <t xml:space="preserve">S = P/PF</t>
  </si>
  <si>
    <t xml:space="preserve">Per-feeder P</t>
  </si>
  <si>
    <t xml:space="preserve">P/N</t>
  </si>
  <si>
    <t xml:space="preserve">Per-feeder S</t>
  </si>
  <si>
    <t xml:space="preserve">S/N</t>
  </si>
  <si>
    <t xml:space="preserve">Per-feeder current @1.0 pu</t>
  </si>
  <si>
    <t xml:space="preserve">S/(√3V)</t>
  </si>
  <si>
    <t xml:space="preserve">Per-feeder current @V_MIN</t>
  </si>
  <si>
    <t xml:space="preserve">Total BESS current @1.0 pu</t>
  </si>
  <si>
    <t xml:space="preserve">Duration at rated power</t>
  </si>
  <si>
    <t xml:space="preserve">E/P</t>
  </si>
  <si>
    <t xml:space="preserve">h</t>
  </si>
  <si>
    <t xml:space="preserve">Actual-PCS method (to be completed when BESS design data are released):</t>
  </si>
  <si>
    <t xml:space="preserve">No. PCS/MVT blocks (O)</t>
  </si>
  <si>
    <t xml:space="preserve">PCS rating each (MVA) (O)</t>
  </si>
  <si>
    <t xml:space="preserve">Feeder S (MVA)</t>
  </si>
  <si>
    <t xml:space="preserve">Feeder I @1.0 pu (A)</t>
  </si>
  <si>
    <t xml:space="preserve">Feeder I @V_MIN (A)</t>
  </si>
  <si>
    <t xml:space="preserve">BF-01</t>
  </si>
  <si>
    <t xml:space="preserve">BF-02</t>
  </si>
  <si>
    <t xml:space="preserve">BF-03</t>
  </si>
  <si>
    <t xml:space="preserve">BF-04</t>
  </si>
  <si>
    <t xml:space="preserve">GSU sizing at 100 MW POI export/import with ±0.95 PF at high side (candidate 125 MVA)</t>
  </si>
  <si>
    <t xml:space="preserve">Q required at HV (each direction)</t>
  </si>
  <si>
    <t xml:space="preserve">Q = P·tan(acos PF)</t>
  </si>
  <si>
    <t xml:space="preserve">S at HV</t>
  </si>
  <si>
    <t xml:space="preserve">√(P²+Q²)</t>
  </si>
  <si>
    <t xml:space="preserve">GSU HV rated current</t>
  </si>
  <si>
    <t xml:space="preserve">S_GSU/(√3·115)</t>
  </si>
  <si>
    <t xml:space="preserve">GSU MV rated current</t>
  </si>
  <si>
    <t xml:space="preserve">S_GSU/(√3·34.5)</t>
  </si>
  <si>
    <t xml:space="preserve">GSU MV current @V_MIN</t>
  </si>
  <si>
    <t xml:space="preserve">Max POI current @0.95 pu</t>
  </si>
  <si>
    <t xml:space="preserve">S_HV/(√3·0.95·115)</t>
  </si>
  <si>
    <t xml:space="preserve">Infinite-bus 3φ fault via GSU at MV</t>
  </si>
  <si>
    <t xml:space="preserve">I_MV,r / Z</t>
  </si>
  <si>
    <t xml:space="preserve">kA</t>
  </si>
  <si>
    <t xml:space="preserve">Infinite-bus 3φ fault via GSU at HV (grid side excluded)</t>
  </si>
  <si>
    <t xml:space="preserve">I_HV,r / Z</t>
  </si>
  <si>
    <t xml:space="preserve">V_HV (pu)</t>
  </si>
  <si>
    <t xml:space="preserve">Q sign (+ supply / − absorb)</t>
  </si>
  <si>
    <t xml:space="preserve">P_HV (MW)</t>
  </si>
  <si>
    <t xml:space="preserve">Q_HV (Mvar)</t>
  </si>
  <si>
    <t xml:space="preserve">I (pu of S_GSU)</t>
  </si>
  <si>
    <t xml:space="preserve">Equivalent MVA</t>
  </si>
  <si>
    <t xml:space="preserve">Q loss (Mvar)</t>
  </si>
  <si>
    <t xml:space="preserve">P loss (MW)</t>
  </si>
  <si>
    <t xml:space="preserve">P_MV (MW)</t>
  </si>
  <si>
    <t xml:space="preserve">Q_MV (Mvar)</t>
  </si>
  <si>
    <t xml:space="preserve">S_MV (MVA)</t>
  </si>
  <si>
    <t xml:space="preserve">Max equivalent MVA</t>
  </si>
  <si>
    <t xml:space="preserve">Margin of S_GSU over max equivalent MVA</t>
  </si>
  <si>
    <t xml:space="preserve">Import (charging) case: identical |S| at HV ⇒ same current loading; Q-loss sign convention unchanged.</t>
  </si>
  <si>
    <t xml:space="preserve">Equivalent MVA = I × √3 × V_rated (thermal duty is current-driven).</t>
  </si>
  <si>
    <t xml:space="preserve">Alternative top rating (MVA)</t>
  </si>
  <si>
    <t xml:space="preserve">Loading @ 0.95 pu, 0.95 PF</t>
  </si>
  <si>
    <t xml:space="preserve">34.5 kV bus three-phase fault screening (parametric — utility fault data not provided)</t>
  </si>
  <si>
    <t xml:space="preserve">S_sc grid (MVA)</t>
  </si>
  <si>
    <t xml:space="preserve">Z_GSU (pu)</t>
  </si>
  <si>
    <t xml:space="preserve">Z_sys (pu on S_GSU)</t>
  </si>
  <si>
    <t xml:space="preserve">I grid via GSU (kA)</t>
  </si>
  <si>
    <t xml:space="preserve">I wind (kA)</t>
  </si>
  <si>
    <t xml:space="preserve">I BESS (kA)</t>
  </si>
  <si>
    <t xml:space="preserve">I total (kA)</t>
  </si>
  <si>
    <t xml:space="preserve">vs 40 kA</t>
  </si>
  <si>
    <t xml:space="preserve">S_sc = 1E9 represents an infinite source (upper bound). Generator contributions are bounding arithmetic sums at the bus, ignoring WTG transformer/cable impedance — conservative.</t>
  </si>
  <si>
    <t xml:space="preserve">Asymmetry (X/R) and peak/closing duty must be checked per IEEE C37.010 once GSU X/R is known — GSU X/R can exceed the C37.04 standard X/R of 17.</t>
  </si>
  <si>
    <t xml:space="preserve">Preliminary equipment rating basis (selected values are PRELIMINARY)</t>
  </si>
  <si>
    <t xml:space="preserve">Item</t>
  </si>
  <si>
    <t xml:space="preserve">Required / calculated</t>
  </si>
  <si>
    <t xml:space="preserve">Preliminary selection</t>
  </si>
  <si>
    <t xml:space="preserve">34.5 kV main breaker continuous (A)</t>
  </si>
  <si>
    <t xml:space="preserve">GSU MV current at 125 MVA, V_MIN</t>
  </si>
  <si>
    <t xml:space="preserve">3000 A</t>
  </si>
  <si>
    <t xml:space="preserve">Preliminary</t>
  </si>
  <si>
    <t xml:space="preserve">34.5 kV wind feeder breaker (A)</t>
  </si>
  <si>
    <t xml:space="preserve">Max feeder I @V_MIN</t>
  </si>
  <si>
    <t xml:space="preserve">1200 A</t>
  </si>
  <si>
    <t xml:space="preserve">34.5 kV BESS feeder breaker (A)</t>
  </si>
  <si>
    <t xml:space="preserve">Per-feeder I @V_MIN (screening)</t>
  </si>
  <si>
    <t xml:space="preserve">Confirm with BESS design</t>
  </si>
  <si>
    <t xml:space="preserve">34.5 kV bus (A)</t>
  </si>
  <si>
    <t xml:space="preserve">Max of (Σ wind @V_MIN, Σ BESS @V_MIN, GSU)</t>
  </si>
  <si>
    <t xml:space="preserve">34.5 kV interrupting (kA sym)</t>
  </si>
  <si>
    <t xml:space="preserve">Max of screening cases</t>
  </si>
  <si>
    <t xml:space="preserve">40 kA (38 kV class, 150 kV BIL)</t>
  </si>
  <si>
    <t xml:space="preserve">Confirm by SC study</t>
  </si>
  <si>
    <t xml:space="preserve">34.5 kV peak withstand (kA)</t>
  </si>
  <si>
    <t xml:space="preserve">2.6 × I_sc (60 Hz, C37.04)</t>
  </si>
  <si>
    <t xml:space="preserve">104 kA</t>
  </si>
  <si>
    <t xml:space="preserve">115 kV breaker continuous (A)</t>
  </si>
  <si>
    <t xml:space="preserve">1200 A min. (utility std. may be 2000 A)</t>
  </si>
  <si>
    <t xml:space="preserve">U</t>
  </si>
  <si>
    <t xml:space="preserve">115 kV breaker interrupting</t>
  </si>
  <si>
    <t xml:space="preserve">Utility POI fault level + growth margin</t>
  </si>
  <si>
    <t xml:space="preserve">n/a</t>
  </si>
  <si>
    <t xml:space="preserve">TBD (40 or 63 kA class)</t>
  </si>
  <si>
    <t xml:space="preserve">OPEN — utility data</t>
  </si>
  <si>
    <t xml:space="preserve">115 kV arrester MCOV (kV)</t>
  </si>
  <si>
    <t xml:space="preserve">≥ 1.05 × 123/√3</t>
  </si>
  <si>
    <t xml:space="preserve">≥ 76 kV MCOV (96 kV duty-cycle) — confirm TOV</t>
  </si>
  <si>
    <t xml:space="preserve">34.5 kV arrester MCOV (kV), effectively grounded</t>
  </si>
  <si>
    <t xml:space="preserve">≥ 1.05 × 36.2/√3</t>
  </si>
  <si>
    <t xml:space="preserve">22 kV MCOV min. if always effectively grounded; ≥ 36.5 kV MCOV (or TOV-curve justification) if islanded/ungrounded operation possible</t>
  </si>
  <si>
    <t xml:space="preserve">Open — grounding study</t>
  </si>
  <si>
    <t xml:space="preserve">115 kV BIL</t>
  </si>
  <si>
    <t xml:space="preserve">IEEE C57.12.00 / C37.06 class</t>
  </si>
  <si>
    <t xml:space="preserve">550 kV (450 kV reduced only if insulation coordination permits)</t>
  </si>
  <si>
    <t xml:space="preserve">34.5 kV transformer winding BIL</t>
  </si>
  <si>
    <t xml:space="preserve">IEEE C57.12.00</t>
  </si>
  <si>
    <t xml:space="preserve">200 kV</t>
  </si>
  <si>
    <t xml:space="preserve">POI operating scenarios — net flow vs internal loading (screening losses &amp; aux)</t>
  </si>
  <si>
    <t xml:space="preserve">Scenario</t>
  </si>
  <si>
    <t xml:space="preserve">Wind at WTGs (MW)</t>
  </si>
  <si>
    <t xml:space="preserve">BESS at MV (+dis/−chg) (MW)</t>
  </si>
  <si>
    <t xml:space="preserve">Wind at POI (MW)</t>
  </si>
  <si>
    <t xml:space="preserve">BESS at POI (MW)</t>
  </si>
  <si>
    <t xml:space="preserve">Aux (MW)</t>
  </si>
  <si>
    <t xml:space="preserve">Net POI (MW, +export)</t>
  </si>
  <si>
    <t xml:space="preserve">Within ±100 MW?</t>
  </si>
  <si>
    <t xml:space="preserve">Wind feeder ΣI (A)</t>
  </si>
  <si>
    <t xml:space="preserve">BESS feeder ΣI (A)</t>
  </si>
  <si>
    <t xml:space="preserve">PPC action</t>
  </si>
  <si>
    <t xml:space="preserve">S1 Wind full, BESS idle</t>
  </si>
  <si>
    <t xml:space="preserve">None — losses keep POI &lt; 100 MW; PPC export limiter armed</t>
  </si>
  <si>
    <t xml:space="preserve">S2 Wind full, BESS charging 100 MW</t>
  </si>
  <si>
    <t xml:space="preserve">POI ≈ 0 but ALL feeders fully loaded</t>
  </si>
  <si>
    <t xml:space="preserve">S3 No wind, BESS discharging 100 MW</t>
  </si>
  <si>
    <t xml:space="preserve">None</t>
  </si>
  <si>
    <t xml:space="preserve">S4 Wind 60 MW + BESS 100 MW requested</t>
  </si>
  <si>
    <t xml:space="preserve">PPC must curtail BESS (or wind) to hold ≤ 100 MW</t>
  </si>
  <si>
    <t xml:space="preserve">S5 No wind, BESS charging 100 MW requested</t>
  </si>
  <si>
    <t xml:space="preserve">PPC must reduce charge so import (incl. aux &amp; losses) ≤ 100 MW</t>
  </si>
  <si>
    <t xml:space="preserve">S6 Wind full + BESS discharge 20 MW requested</t>
  </si>
  <si>
    <t xml:space="preserve">PPC must hold BESS to ≈ 0–1.5 MW (or curtail wind)</t>
  </si>
  <si>
    <t xml:space="preserve">Feeder currents are set by each resource's own output; they are NOT reduced when wind export and BESS charging cancel at the POI (S2).</t>
  </si>
  <si>
    <t xml:space="preserve">Max BESS charge with no wind while respecting import limit (MW at PCS):</t>
  </si>
  <si>
    <t xml:space="preserve">Independent check — workbook formulas vs Python engine (calc.py)</t>
  </si>
  <si>
    <t xml:space="preserve">Workbook</t>
  </si>
  <si>
    <t xml:space="preserve">Python</t>
  </si>
  <si>
    <t xml:space="preserve">Δ %</t>
  </si>
  <si>
    <t xml:space="preserve">Result</t>
  </si>
  <si>
    <t xml:space="preserve">WTG S (MVA)</t>
  </si>
  <si>
    <t xml:space="preserve">WTG I 690 V (A)</t>
  </si>
  <si>
    <t xml:space="preserve">WTG I 34.5 kV (A)</t>
  </si>
  <si>
    <t xml:space="preserve">WF-01 home-run I @1.0 pu (A)</t>
  </si>
  <si>
    <t xml:space="preserve">WF-04 home-run I @1.0 pu (A)</t>
  </si>
  <si>
    <t xml:space="preserve">Ampacity 1/0 (A)</t>
  </si>
  <si>
    <t xml:space="preserve">Ampacity 500 kcmil (A)</t>
  </si>
  <si>
    <t xml:space="preserve">Ampacity 1000 kcmil (A)</t>
  </si>
  <si>
    <t xml:space="preserve">Rac 750 kcmil (Ω/km)</t>
  </si>
  <si>
    <t xml:space="preserve">X 750 kcmil (Ω/km)</t>
  </si>
  <si>
    <t xml:space="preserve">Qc 1000 kcmil (kvar/km)</t>
  </si>
  <si>
    <t xml:space="preserve">BESS feeder I (A)</t>
  </si>
  <si>
    <t xml:space="preserve">GSU HV rated I (A)</t>
  </si>
  <si>
    <t xml:space="preserve">GSU MV rated I (A)</t>
  </si>
  <si>
    <t xml:space="preserve">GSU max equiv MVA</t>
  </si>
  <si>
    <t xml:space="preserve">Q required at HV (Mvar)</t>
  </si>
  <si>
    <t xml:space="preserve">Fault, ∞ bus, Z=0.10 total (kA)</t>
  </si>
  <si>
    <t xml:space="preserve">500 kcmil 0.5 s withstand (kA)</t>
  </si>
  <si>
    <t xml:space="preserve">WF-01 ΣΔV @ illustrative 5 km (%)</t>
  </si>
  <si>
    <t xml:space="preserve">WF-01 losses @ illustrative 5 km (MW)</t>
  </si>
  <si>
    <t xml:space="preserve">Grouped ampacity 1000 kcmil (A)</t>
  </si>
  <si>
    <t xml:space="preserve">S2 net POI (MW)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</si>
</sst>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0.00"/>
    <numFmt numFmtId="166" formatCode="0.000E+00"/>
    <numFmt numFmtId="167" formatCode="0.000"/>
    <numFmt numFmtId="168" formatCode="0"/>
    <numFmt numFmtId="169" formatCode="0.0%"/>
    <numFmt numFmtId="170" formatCode="0.00%"/>
    <numFmt numFmtId="171" formatCode="0.0"/>
    <numFmt numFmtId="172" formatCode="0.000%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sz val="10"/>
      <color theme="1"/>
      <name val="Arial"/>
      <family val="0"/>
      <charset val="1"/>
    </font>
    <font>
      <i val="true"/>
      <sz val="9"/>
      <color rgb="FFC00000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1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E2EFDA"/>
        <bgColor rgb="FFFFF2CC"/>
      </patternFill>
    </fill>
    <fill>
      <patternFill patternType="solid">
        <fgColor rgb="FFFFF2CC"/>
        <bgColor rgb="FFE2EFD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A6A6A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20"/>
  </cols>
  <sheetData>
    <row r="1" customFormat="false" ht="17.35" hidden="false" customHeight="false" outlineLevel="0" collapsed="false">
      <c r="A1" s="1" t="s">
        <v>0</v>
      </c>
      <c r="B1" s="2"/>
    </row>
    <row r="2" customFormat="false" ht="15" hidden="false" customHeight="false" outlineLevel="0" collapsed="false">
      <c r="A2" s="3" t="s">
        <v>1</v>
      </c>
      <c r="B2" s="2"/>
    </row>
    <row r="3" customFormat="false" ht="15" hidden="false" customHeight="false" outlineLevel="0" collapsed="false">
      <c r="A3" s="2"/>
      <c r="B3" s="2"/>
    </row>
    <row r="4" customFormat="false" ht="15" hidden="false" customHeight="false" outlineLevel="0" collapsed="false">
      <c r="A4" s="4" t="s">
        <v>2</v>
      </c>
      <c r="B4" s="5" t="s">
        <v>3</v>
      </c>
    </row>
    <row r="5" customFormat="false" ht="15" hidden="false" customHeight="false" outlineLevel="0" collapsed="false">
      <c r="A5" s="4" t="s">
        <v>4</v>
      </c>
      <c r="B5" s="5" t="s">
        <v>5</v>
      </c>
    </row>
    <row r="6" customFormat="false" ht="15" hidden="false" customHeight="false" outlineLevel="0" collapsed="false">
      <c r="A6" s="4" t="s">
        <v>6</v>
      </c>
      <c r="B6" s="5" t="s">
        <v>7</v>
      </c>
    </row>
    <row r="7" customFormat="false" ht="15" hidden="false" customHeight="false" outlineLevel="0" collapsed="false">
      <c r="A7" s="4" t="s">
        <v>8</v>
      </c>
      <c r="B7" s="5" t="s">
        <v>9</v>
      </c>
    </row>
    <row r="8" customFormat="false" ht="15" hidden="false" customHeight="false" outlineLevel="0" collapsed="false">
      <c r="A8" s="4" t="s">
        <v>10</v>
      </c>
      <c r="B8" s="5" t="s">
        <v>11</v>
      </c>
    </row>
    <row r="9" customFormat="false" ht="15" hidden="false" customHeight="false" outlineLevel="0" collapsed="false">
      <c r="A9" s="4" t="s">
        <v>12</v>
      </c>
      <c r="B9" s="5" t="s">
        <v>13</v>
      </c>
    </row>
    <row r="10" customFormat="false" ht="15" hidden="false" customHeight="false" outlineLevel="0" collapsed="false">
      <c r="A10" s="4" t="s">
        <v>14</v>
      </c>
      <c r="B10" s="5" t="s">
        <v>15</v>
      </c>
    </row>
    <row r="11" customFormat="false" ht="15" hidden="false" customHeight="false" outlineLevel="0" collapsed="false">
      <c r="A11" s="4" t="s">
        <v>16</v>
      </c>
      <c r="B11" s="5" t="s">
        <v>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3" min="2" style="0" width="12"/>
    <col collapsed="false" customWidth="true" hidden="false" outlineLevel="0" max="4" min="4" style="0" width="9"/>
    <col collapsed="false" customWidth="true" hidden="false" outlineLevel="0" max="5" min="5" style="0" width="7"/>
    <col collapsed="false" customWidth="true" hidden="false" outlineLevel="0" max="6" min="6" style="0" width="90"/>
  </cols>
  <sheetData>
    <row r="1" customFormat="false" ht="17.35" hidden="false" customHeight="false" outlineLevel="0" collapsed="false">
      <c r="A1" s="1" t="s">
        <v>18</v>
      </c>
      <c r="B1" s="2"/>
      <c r="C1" s="2"/>
      <c r="D1" s="2"/>
      <c r="E1" s="2"/>
      <c r="F1" s="2"/>
    </row>
    <row r="2" customFormat="false" ht="15" hidden="false" customHeight="false" outlineLevel="0" collapsed="false">
      <c r="A2" s="3" t="s">
        <v>1</v>
      </c>
      <c r="B2" s="2"/>
      <c r="C2" s="2"/>
      <c r="D2" s="2"/>
      <c r="E2" s="2"/>
      <c r="F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</row>
    <row r="4" customFormat="false" ht="15" hidden="false" customHeight="false" outlineLevel="0" collapsed="false">
      <c r="A4" s="6" t="s">
        <v>19</v>
      </c>
      <c r="B4" s="6" t="s">
        <v>20</v>
      </c>
      <c r="C4" s="6" t="s">
        <v>21</v>
      </c>
      <c r="D4" s="6" t="s">
        <v>22</v>
      </c>
      <c r="E4" s="6" t="s">
        <v>23</v>
      </c>
      <c r="F4" s="6" t="s">
        <v>24</v>
      </c>
    </row>
    <row r="5" customFormat="false" ht="15" hidden="false" customHeight="false" outlineLevel="0" collapsed="false">
      <c r="A5" s="2" t="s">
        <v>25</v>
      </c>
      <c r="B5" s="2" t="s">
        <v>26</v>
      </c>
      <c r="C5" s="7" t="n">
        <v>27</v>
      </c>
      <c r="D5" s="2" t="s">
        <v>27</v>
      </c>
      <c r="E5" s="2" t="s">
        <v>28</v>
      </c>
      <c r="F5" s="2" t="s">
        <v>29</v>
      </c>
    </row>
    <row r="6" customFormat="false" ht="15" hidden="false" customHeight="false" outlineLevel="0" collapsed="false">
      <c r="A6" s="2" t="s">
        <v>30</v>
      </c>
      <c r="B6" s="2" t="s">
        <v>31</v>
      </c>
      <c r="C6" s="7" t="n">
        <v>3.8</v>
      </c>
      <c r="D6" s="2" t="s">
        <v>32</v>
      </c>
      <c r="E6" s="2" t="s">
        <v>28</v>
      </c>
      <c r="F6" s="2" t="s">
        <v>33</v>
      </c>
    </row>
    <row r="7" customFormat="false" ht="15" hidden="false" customHeight="false" outlineLevel="0" collapsed="false">
      <c r="A7" s="2" t="s">
        <v>34</v>
      </c>
      <c r="B7" s="2" t="s">
        <v>35</v>
      </c>
      <c r="C7" s="8" t="n">
        <v>0.95</v>
      </c>
      <c r="D7" s="2" t="s">
        <v>27</v>
      </c>
      <c r="E7" s="2" t="s">
        <v>36</v>
      </c>
      <c r="F7" s="2" t="s">
        <v>37</v>
      </c>
    </row>
    <row r="8" customFormat="false" ht="15" hidden="false" customHeight="false" outlineLevel="0" collapsed="false">
      <c r="A8" s="2" t="s">
        <v>38</v>
      </c>
      <c r="B8" s="2" t="s">
        <v>39</v>
      </c>
      <c r="C8" s="7" t="n">
        <v>0.69</v>
      </c>
      <c r="D8" s="2" t="s">
        <v>40</v>
      </c>
      <c r="E8" s="2" t="s">
        <v>28</v>
      </c>
      <c r="F8" s="2" t="s">
        <v>29</v>
      </c>
    </row>
    <row r="9" customFormat="false" ht="15" hidden="false" customHeight="false" outlineLevel="0" collapsed="false">
      <c r="A9" s="2" t="s">
        <v>41</v>
      </c>
      <c r="B9" s="2" t="s">
        <v>42</v>
      </c>
      <c r="C9" s="7" t="n">
        <v>34.5</v>
      </c>
      <c r="D9" s="2" t="s">
        <v>40</v>
      </c>
      <c r="E9" s="2" t="s">
        <v>28</v>
      </c>
      <c r="F9" s="2" t="s">
        <v>29</v>
      </c>
    </row>
    <row r="10" customFormat="false" ht="15" hidden="false" customHeight="false" outlineLevel="0" collapsed="false">
      <c r="A10" s="2" t="s">
        <v>43</v>
      </c>
      <c r="B10" s="2" t="s">
        <v>44</v>
      </c>
      <c r="C10" s="7" t="n">
        <v>115</v>
      </c>
      <c r="D10" s="2" t="s">
        <v>40</v>
      </c>
      <c r="E10" s="2" t="s">
        <v>28</v>
      </c>
      <c r="F10" s="2" t="s">
        <v>29</v>
      </c>
    </row>
    <row r="11" customFormat="false" ht="15" hidden="false" customHeight="false" outlineLevel="0" collapsed="false">
      <c r="A11" s="2" t="s">
        <v>45</v>
      </c>
      <c r="B11" s="2" t="s">
        <v>46</v>
      </c>
      <c r="C11" s="8" t="n">
        <v>0.95</v>
      </c>
      <c r="D11" s="2" t="s">
        <v>47</v>
      </c>
      <c r="E11" s="2" t="s">
        <v>48</v>
      </c>
      <c r="F11" s="2" t="s">
        <v>49</v>
      </c>
    </row>
    <row r="12" customFormat="false" ht="15" hidden="false" customHeight="false" outlineLevel="0" collapsed="false">
      <c r="A12" s="2" t="s">
        <v>50</v>
      </c>
      <c r="B12" s="2" t="s">
        <v>51</v>
      </c>
      <c r="C12" s="7" t="n">
        <v>7</v>
      </c>
      <c r="D12" s="2" t="s">
        <v>27</v>
      </c>
      <c r="E12" s="2" t="s">
        <v>28</v>
      </c>
      <c r="F12" s="2" t="s">
        <v>52</v>
      </c>
    </row>
    <row r="13" customFormat="false" ht="15" hidden="false" customHeight="false" outlineLevel="0" collapsed="false">
      <c r="A13" s="2" t="s">
        <v>53</v>
      </c>
      <c r="B13" s="2" t="s">
        <v>54</v>
      </c>
      <c r="C13" s="7" t="n">
        <v>7</v>
      </c>
      <c r="D13" s="2" t="s">
        <v>27</v>
      </c>
      <c r="E13" s="2" t="s">
        <v>28</v>
      </c>
      <c r="F13" s="2" t="s">
        <v>52</v>
      </c>
    </row>
    <row r="14" customFormat="false" ht="15" hidden="false" customHeight="false" outlineLevel="0" collapsed="false">
      <c r="A14" s="2" t="s">
        <v>55</v>
      </c>
      <c r="B14" s="2" t="s">
        <v>56</v>
      </c>
      <c r="C14" s="7" t="n">
        <v>7</v>
      </c>
      <c r="D14" s="2" t="s">
        <v>27</v>
      </c>
      <c r="E14" s="2" t="s">
        <v>28</v>
      </c>
      <c r="F14" s="2" t="s">
        <v>52</v>
      </c>
    </row>
    <row r="15" customFormat="false" ht="15" hidden="false" customHeight="false" outlineLevel="0" collapsed="false">
      <c r="A15" s="2" t="s">
        <v>57</v>
      </c>
      <c r="B15" s="2" t="s">
        <v>58</v>
      </c>
      <c r="C15" s="7" t="n">
        <v>6</v>
      </c>
      <c r="D15" s="2" t="s">
        <v>27</v>
      </c>
      <c r="E15" s="2" t="s">
        <v>28</v>
      </c>
      <c r="F15" s="2" t="s">
        <v>52</v>
      </c>
    </row>
    <row r="16" customFormat="false" ht="15" hidden="false" customHeight="false" outlineLevel="0" collapsed="false">
      <c r="A16" s="2" t="s">
        <v>59</v>
      </c>
      <c r="B16" s="2" t="s">
        <v>60</v>
      </c>
      <c r="C16" s="7" t="n">
        <v>100</v>
      </c>
      <c r="D16" s="2" t="s">
        <v>32</v>
      </c>
      <c r="E16" s="2" t="s">
        <v>28</v>
      </c>
      <c r="F16" s="2" t="s">
        <v>52</v>
      </c>
    </row>
    <row r="17" customFormat="false" ht="15" hidden="false" customHeight="false" outlineLevel="0" collapsed="false">
      <c r="A17" s="2" t="s">
        <v>61</v>
      </c>
      <c r="B17" s="2" t="s">
        <v>62</v>
      </c>
      <c r="C17" s="7" t="n">
        <v>100</v>
      </c>
      <c r="D17" s="2" t="s">
        <v>32</v>
      </c>
      <c r="E17" s="2" t="s">
        <v>28</v>
      </c>
      <c r="F17" s="2" t="s">
        <v>52</v>
      </c>
    </row>
    <row r="18" customFormat="false" ht="15" hidden="false" customHeight="false" outlineLevel="0" collapsed="false">
      <c r="A18" s="2" t="s">
        <v>63</v>
      </c>
      <c r="B18" s="2" t="s">
        <v>64</v>
      </c>
      <c r="C18" s="8" t="n">
        <v>0.95</v>
      </c>
      <c r="D18" s="2" t="s">
        <v>27</v>
      </c>
      <c r="E18" s="2" t="s">
        <v>65</v>
      </c>
      <c r="F18" s="2" t="s">
        <v>66</v>
      </c>
    </row>
    <row r="19" customFormat="false" ht="15" hidden="false" customHeight="false" outlineLevel="0" collapsed="false">
      <c r="A19" s="2" t="s">
        <v>67</v>
      </c>
      <c r="B19" s="2" t="s">
        <v>68</v>
      </c>
      <c r="C19" s="7" t="n">
        <v>100</v>
      </c>
      <c r="D19" s="2" t="s">
        <v>32</v>
      </c>
      <c r="E19" s="2" t="s">
        <v>28</v>
      </c>
      <c r="F19" s="2" t="s">
        <v>52</v>
      </c>
    </row>
    <row r="20" customFormat="false" ht="15" hidden="false" customHeight="false" outlineLevel="0" collapsed="false">
      <c r="A20" s="2" t="s">
        <v>69</v>
      </c>
      <c r="B20" s="2" t="s">
        <v>70</v>
      </c>
      <c r="C20" s="7" t="n">
        <v>200</v>
      </c>
      <c r="D20" s="2" t="s">
        <v>71</v>
      </c>
      <c r="E20" s="2" t="s">
        <v>28</v>
      </c>
      <c r="F20" s="2" t="s">
        <v>52</v>
      </c>
    </row>
    <row r="21" customFormat="false" ht="15" hidden="false" customHeight="false" outlineLevel="0" collapsed="false">
      <c r="A21" s="2" t="s">
        <v>72</v>
      </c>
      <c r="B21" s="2" t="s">
        <v>73</v>
      </c>
      <c r="C21" s="8" t="n">
        <v>0.95</v>
      </c>
      <c r="D21" s="2" t="s">
        <v>27</v>
      </c>
      <c r="E21" s="2" t="s">
        <v>36</v>
      </c>
      <c r="F21" s="2" t="s">
        <v>74</v>
      </c>
    </row>
    <row r="22" customFormat="false" ht="15" hidden="false" customHeight="false" outlineLevel="0" collapsed="false">
      <c r="A22" s="2" t="s">
        <v>75</v>
      </c>
      <c r="B22" s="2" t="s">
        <v>76</v>
      </c>
      <c r="C22" s="7" t="n">
        <v>4</v>
      </c>
      <c r="D22" s="2" t="s">
        <v>27</v>
      </c>
      <c r="E22" s="2" t="s">
        <v>28</v>
      </c>
      <c r="F22" s="2" t="s">
        <v>77</v>
      </c>
    </row>
    <row r="23" customFormat="false" ht="15" hidden="false" customHeight="false" outlineLevel="0" collapsed="false">
      <c r="A23" s="2" t="s">
        <v>78</v>
      </c>
      <c r="B23" s="2" t="s">
        <v>79</v>
      </c>
      <c r="C23" s="8" t="n">
        <v>125</v>
      </c>
      <c r="D23" s="2" t="s">
        <v>80</v>
      </c>
      <c r="E23" s="2" t="s">
        <v>81</v>
      </c>
      <c r="F23" s="2" t="s">
        <v>82</v>
      </c>
    </row>
    <row r="24" customFormat="false" ht="15" hidden="false" customHeight="false" outlineLevel="0" collapsed="false">
      <c r="A24" s="2" t="s">
        <v>83</v>
      </c>
      <c r="B24" s="2" t="s">
        <v>84</v>
      </c>
      <c r="C24" s="8" t="n">
        <v>0.1</v>
      </c>
      <c r="D24" s="2" t="s">
        <v>47</v>
      </c>
      <c r="E24" s="2" t="s">
        <v>81</v>
      </c>
      <c r="F24" s="2" t="s">
        <v>85</v>
      </c>
    </row>
    <row r="25" customFormat="false" ht="15" hidden="false" customHeight="false" outlineLevel="0" collapsed="false">
      <c r="A25" s="2" t="s">
        <v>86</v>
      </c>
      <c r="B25" s="2" t="s">
        <v>87</v>
      </c>
      <c r="C25" s="8" t="n">
        <v>0.004</v>
      </c>
      <c r="D25" s="2" t="s">
        <v>47</v>
      </c>
      <c r="E25" s="2" t="s">
        <v>48</v>
      </c>
      <c r="F25" s="2" t="s">
        <v>88</v>
      </c>
    </row>
    <row r="26" customFormat="false" ht="15" hidden="false" customHeight="false" outlineLevel="0" collapsed="false">
      <c r="A26" s="2" t="s">
        <v>89</v>
      </c>
      <c r="B26" s="2" t="s">
        <v>90</v>
      </c>
      <c r="C26" s="8" t="n">
        <v>8000</v>
      </c>
      <c r="D26" s="2" t="s">
        <v>80</v>
      </c>
      <c r="E26" s="2" t="s">
        <v>81</v>
      </c>
      <c r="F26" s="2" t="s">
        <v>91</v>
      </c>
    </row>
    <row r="27" customFormat="false" ht="15" hidden="false" customHeight="false" outlineLevel="0" collapsed="false">
      <c r="A27" s="2" t="s">
        <v>92</v>
      </c>
      <c r="B27" s="2" t="s">
        <v>93</v>
      </c>
      <c r="C27" s="8" t="n">
        <v>5</v>
      </c>
      <c r="D27" s="2" t="s">
        <v>47</v>
      </c>
      <c r="E27" s="2" t="s">
        <v>36</v>
      </c>
      <c r="F27" s="2" t="s">
        <v>94</v>
      </c>
    </row>
    <row r="28" customFormat="false" ht="15" hidden="false" customHeight="false" outlineLevel="0" collapsed="false">
      <c r="A28" s="2" t="s">
        <v>95</v>
      </c>
      <c r="B28" s="2" t="s">
        <v>96</v>
      </c>
      <c r="C28" s="8" t="n">
        <v>1.2</v>
      </c>
      <c r="D28" s="2" t="s">
        <v>47</v>
      </c>
      <c r="E28" s="2" t="s">
        <v>36</v>
      </c>
      <c r="F28" s="2" t="s">
        <v>97</v>
      </c>
    </row>
    <row r="29" customFormat="false" ht="15" hidden="false" customHeight="false" outlineLevel="0" collapsed="false">
      <c r="A29" s="2" t="s">
        <v>98</v>
      </c>
      <c r="B29" s="2" t="s">
        <v>99</v>
      </c>
      <c r="C29" s="8" t="n">
        <v>2.8264E-008</v>
      </c>
      <c r="D29" s="2" t="s">
        <v>100</v>
      </c>
      <c r="E29" s="2" t="s">
        <v>48</v>
      </c>
      <c r="F29" s="2" t="s">
        <v>101</v>
      </c>
    </row>
    <row r="30" customFormat="false" ht="15" hidden="false" customHeight="false" outlineLevel="0" collapsed="false">
      <c r="A30" s="2" t="s">
        <v>102</v>
      </c>
      <c r="B30" s="2" t="s">
        <v>103</v>
      </c>
      <c r="C30" s="8" t="n">
        <v>1.02</v>
      </c>
      <c r="D30" s="2" t="s">
        <v>27</v>
      </c>
      <c r="E30" s="2" t="s">
        <v>48</v>
      </c>
      <c r="F30" s="2" t="s">
        <v>104</v>
      </c>
    </row>
    <row r="31" customFormat="false" ht="15" hidden="false" customHeight="false" outlineLevel="0" collapsed="false">
      <c r="A31" s="2" t="s">
        <v>105</v>
      </c>
      <c r="B31" s="2" t="s">
        <v>106</v>
      </c>
      <c r="C31" s="8" t="n">
        <v>0.00403</v>
      </c>
      <c r="D31" s="2" t="s">
        <v>107</v>
      </c>
      <c r="E31" s="2" t="s">
        <v>48</v>
      </c>
      <c r="F31" s="2" t="s">
        <v>108</v>
      </c>
    </row>
    <row r="32" customFormat="false" ht="15" hidden="false" customHeight="false" outlineLevel="0" collapsed="false">
      <c r="A32" s="2" t="s">
        <v>109</v>
      </c>
      <c r="B32" s="2" t="s">
        <v>110</v>
      </c>
      <c r="C32" s="8" t="n">
        <v>10.67</v>
      </c>
      <c r="D32" s="2" t="s">
        <v>111</v>
      </c>
      <c r="E32" s="2" t="s">
        <v>48</v>
      </c>
      <c r="F32" s="2" t="s">
        <v>112</v>
      </c>
    </row>
    <row r="33" customFormat="false" ht="15" hidden="false" customHeight="false" outlineLevel="0" collapsed="false">
      <c r="A33" s="2" t="s">
        <v>113</v>
      </c>
      <c r="B33" s="2" t="s">
        <v>114</v>
      </c>
      <c r="C33" s="8" t="n">
        <v>0.6</v>
      </c>
      <c r="D33" s="2" t="s">
        <v>111</v>
      </c>
      <c r="E33" s="2" t="s">
        <v>48</v>
      </c>
      <c r="F33" s="2" t="s">
        <v>115</v>
      </c>
    </row>
    <row r="34" customFormat="false" ht="15" hidden="false" customHeight="false" outlineLevel="0" collapsed="false">
      <c r="A34" s="2" t="s">
        <v>116</v>
      </c>
      <c r="B34" s="2" t="s">
        <v>117</v>
      </c>
      <c r="C34" s="8" t="n">
        <v>1</v>
      </c>
      <c r="D34" s="2" t="s">
        <v>111</v>
      </c>
      <c r="E34" s="2" t="s">
        <v>48</v>
      </c>
      <c r="F34" s="2" t="s">
        <v>115</v>
      </c>
    </row>
    <row r="35" customFormat="false" ht="15" hidden="false" customHeight="false" outlineLevel="0" collapsed="false">
      <c r="A35" s="2" t="s">
        <v>118</v>
      </c>
      <c r="B35" s="2" t="s">
        <v>119</v>
      </c>
      <c r="C35" s="8" t="n">
        <v>2.053</v>
      </c>
      <c r="D35" s="2" t="s">
        <v>111</v>
      </c>
      <c r="E35" s="2" t="s">
        <v>48</v>
      </c>
      <c r="F35" s="2" t="s">
        <v>115</v>
      </c>
    </row>
    <row r="36" customFormat="false" ht="15" hidden="false" customHeight="false" outlineLevel="0" collapsed="false">
      <c r="A36" s="2" t="s">
        <v>120</v>
      </c>
      <c r="B36" s="2" t="s">
        <v>121</v>
      </c>
      <c r="C36" s="8" t="n">
        <v>11</v>
      </c>
      <c r="D36" s="2" t="s">
        <v>27</v>
      </c>
      <c r="E36" s="2" t="s">
        <v>48</v>
      </c>
      <c r="F36" s="2" t="s">
        <v>122</v>
      </c>
    </row>
    <row r="37" customFormat="false" ht="15" hidden="false" customHeight="false" outlineLevel="0" collapsed="false">
      <c r="A37" s="2" t="s">
        <v>123</v>
      </c>
      <c r="B37" s="2" t="s">
        <v>124</v>
      </c>
      <c r="C37" s="8" t="n">
        <v>2.03</v>
      </c>
      <c r="D37" s="2" t="s">
        <v>111</v>
      </c>
      <c r="E37" s="2" t="s">
        <v>48</v>
      </c>
      <c r="F37" s="2" t="s">
        <v>125</v>
      </c>
    </row>
    <row r="38" customFormat="false" ht="15" hidden="false" customHeight="false" outlineLevel="0" collapsed="false">
      <c r="A38" s="2" t="s">
        <v>126</v>
      </c>
      <c r="B38" s="2" t="s">
        <v>127</v>
      </c>
      <c r="C38" s="8" t="n">
        <v>2.5</v>
      </c>
      <c r="D38" s="2" t="s">
        <v>27</v>
      </c>
      <c r="E38" s="2" t="s">
        <v>48</v>
      </c>
      <c r="F38" s="2" t="s">
        <v>128</v>
      </c>
    </row>
    <row r="39" customFormat="false" ht="15" hidden="false" customHeight="false" outlineLevel="0" collapsed="false">
      <c r="A39" s="2" t="s">
        <v>129</v>
      </c>
      <c r="B39" s="2" t="s">
        <v>130</v>
      </c>
      <c r="C39" s="8" t="n">
        <v>0.004</v>
      </c>
      <c r="D39" s="2" t="s">
        <v>27</v>
      </c>
      <c r="E39" s="2" t="s">
        <v>48</v>
      </c>
      <c r="F39" s="2" t="s">
        <v>131</v>
      </c>
    </row>
    <row r="40" customFormat="false" ht="15" hidden="false" customHeight="false" outlineLevel="0" collapsed="false">
      <c r="A40" s="2" t="s">
        <v>132</v>
      </c>
      <c r="B40" s="2" t="s">
        <v>133</v>
      </c>
      <c r="C40" s="8" t="n">
        <v>3.5</v>
      </c>
      <c r="D40" s="2" t="s">
        <v>134</v>
      </c>
      <c r="E40" s="2" t="s">
        <v>48</v>
      </c>
      <c r="F40" s="2" t="s">
        <v>135</v>
      </c>
    </row>
    <row r="41" customFormat="false" ht="15" hidden="false" customHeight="false" outlineLevel="0" collapsed="false">
      <c r="A41" s="2" t="s">
        <v>136</v>
      </c>
      <c r="B41" s="2" t="s">
        <v>137</v>
      </c>
      <c r="C41" s="8" t="n">
        <v>3.5</v>
      </c>
      <c r="D41" s="2" t="s">
        <v>134</v>
      </c>
      <c r="E41" s="2" t="s">
        <v>48</v>
      </c>
      <c r="F41" s="2" t="s">
        <v>135</v>
      </c>
    </row>
    <row r="42" customFormat="false" ht="15" hidden="false" customHeight="false" outlineLevel="0" collapsed="false">
      <c r="A42" s="2" t="s">
        <v>138</v>
      </c>
      <c r="B42" s="2" t="s">
        <v>139</v>
      </c>
      <c r="C42" s="8" t="n">
        <v>1.2</v>
      </c>
      <c r="D42" s="2" t="s">
        <v>134</v>
      </c>
      <c r="E42" s="2" t="s">
        <v>48</v>
      </c>
      <c r="F42" s="2" t="s">
        <v>140</v>
      </c>
    </row>
    <row r="43" customFormat="false" ht="15" hidden="false" customHeight="false" outlineLevel="0" collapsed="false">
      <c r="A43" s="2" t="s">
        <v>141</v>
      </c>
      <c r="B43" s="2" t="s">
        <v>142</v>
      </c>
      <c r="C43" s="8" t="n">
        <v>25</v>
      </c>
      <c r="D43" s="2" t="s">
        <v>143</v>
      </c>
      <c r="E43" s="2" t="s">
        <v>48</v>
      </c>
      <c r="F43" s="2" t="s">
        <v>144</v>
      </c>
    </row>
    <row r="44" customFormat="false" ht="15" hidden="false" customHeight="false" outlineLevel="0" collapsed="false">
      <c r="A44" s="2" t="s">
        <v>145</v>
      </c>
      <c r="B44" s="2" t="s">
        <v>146</v>
      </c>
      <c r="C44" s="8" t="n">
        <v>1</v>
      </c>
      <c r="D44" s="2" t="s">
        <v>147</v>
      </c>
      <c r="E44" s="2" t="s">
        <v>48</v>
      </c>
      <c r="F44" s="2" t="s">
        <v>148</v>
      </c>
    </row>
    <row r="45" customFormat="false" ht="15" hidden="false" customHeight="false" outlineLevel="0" collapsed="false">
      <c r="A45" s="2" t="s">
        <v>149</v>
      </c>
      <c r="B45" s="2" t="s">
        <v>150</v>
      </c>
      <c r="C45" s="8" t="n">
        <v>90</v>
      </c>
      <c r="D45" s="2" t="s">
        <v>143</v>
      </c>
      <c r="E45" s="2" t="s">
        <v>48</v>
      </c>
      <c r="F45" s="2" t="s">
        <v>151</v>
      </c>
    </row>
    <row r="46" customFormat="false" ht="15" hidden="false" customHeight="false" outlineLevel="0" collapsed="false">
      <c r="A46" s="2" t="s">
        <v>152</v>
      </c>
      <c r="B46" s="2" t="s">
        <v>153</v>
      </c>
      <c r="C46" s="8" t="n">
        <v>80</v>
      </c>
      <c r="D46" s="2" t="s">
        <v>143</v>
      </c>
      <c r="E46" s="2" t="s">
        <v>48</v>
      </c>
      <c r="F46" s="2" t="s">
        <v>104</v>
      </c>
    </row>
    <row r="47" customFormat="false" ht="15" hidden="false" customHeight="false" outlineLevel="0" collapsed="false">
      <c r="A47" s="2" t="s">
        <v>154</v>
      </c>
      <c r="B47" s="2" t="s">
        <v>155</v>
      </c>
      <c r="C47" s="7" t="n">
        <v>60</v>
      </c>
      <c r="D47" s="2" t="s">
        <v>156</v>
      </c>
      <c r="E47" s="2" t="s">
        <v>28</v>
      </c>
      <c r="F47" s="2" t="s">
        <v>157</v>
      </c>
    </row>
    <row r="48" customFormat="false" ht="15" hidden="false" customHeight="false" outlineLevel="0" collapsed="false">
      <c r="A48" s="2" t="s">
        <v>158</v>
      </c>
      <c r="B48" s="2" t="s">
        <v>159</v>
      </c>
      <c r="C48" s="8" t="n">
        <v>2</v>
      </c>
      <c r="D48" s="2" t="s">
        <v>147</v>
      </c>
      <c r="E48" s="2" t="s">
        <v>48</v>
      </c>
      <c r="F48" s="2" t="s">
        <v>160</v>
      </c>
    </row>
    <row r="49" customFormat="false" ht="15" hidden="false" customHeight="false" outlineLevel="0" collapsed="false">
      <c r="A49" s="2" t="s">
        <v>161</v>
      </c>
      <c r="B49" s="2" t="s">
        <v>162</v>
      </c>
      <c r="C49" s="8" t="n">
        <v>0.616</v>
      </c>
      <c r="D49" s="2" t="s">
        <v>163</v>
      </c>
      <c r="E49" s="2" t="s">
        <v>81</v>
      </c>
      <c r="F49" s="2" t="s">
        <v>164</v>
      </c>
    </row>
    <row r="50" customFormat="false" ht="15" hidden="false" customHeight="false" outlineLevel="0" collapsed="false">
      <c r="A50" s="2" t="s">
        <v>165</v>
      </c>
      <c r="B50" s="2" t="s">
        <v>166</v>
      </c>
      <c r="C50" s="8" t="n">
        <v>5</v>
      </c>
      <c r="D50" s="2" t="s">
        <v>163</v>
      </c>
      <c r="E50" s="2" t="s">
        <v>81</v>
      </c>
      <c r="F50" s="2" t="s">
        <v>167</v>
      </c>
    </row>
    <row r="51" customFormat="false" ht="15" hidden="false" customHeight="false" outlineLevel="0" collapsed="false">
      <c r="A51" s="2" t="s">
        <v>168</v>
      </c>
      <c r="B51" s="2" t="s">
        <v>169</v>
      </c>
      <c r="C51" s="8" t="n">
        <v>0.03</v>
      </c>
      <c r="D51" s="2" t="s">
        <v>47</v>
      </c>
      <c r="E51" s="2" t="s">
        <v>48</v>
      </c>
      <c r="F51" s="2" t="s">
        <v>170</v>
      </c>
    </row>
    <row r="52" customFormat="false" ht="15" hidden="false" customHeight="false" outlineLevel="0" collapsed="false">
      <c r="A52" s="2" t="s">
        <v>171</v>
      </c>
      <c r="B52" s="2" t="s">
        <v>172</v>
      </c>
      <c r="C52" s="8" t="n">
        <v>0.015</v>
      </c>
      <c r="D52" s="2" t="s">
        <v>47</v>
      </c>
      <c r="E52" s="2" t="s">
        <v>48</v>
      </c>
      <c r="F52" s="2" t="s">
        <v>104</v>
      </c>
    </row>
    <row r="53" customFormat="false" ht="15" hidden="false" customHeight="false" outlineLevel="0" collapsed="false">
      <c r="A53" s="2" t="s">
        <v>173</v>
      </c>
      <c r="B53" s="2" t="s">
        <v>174</v>
      </c>
      <c r="C53" s="8" t="n">
        <v>1</v>
      </c>
      <c r="D53" s="2" t="s">
        <v>32</v>
      </c>
      <c r="E53" s="2" t="s">
        <v>48</v>
      </c>
      <c r="F53" s="2" t="s">
        <v>175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40"/>
    <col collapsed="false" customWidth="true" hidden="false" outlineLevel="0" max="3" min="3" style="0" width="14"/>
    <col collapsed="false" customWidth="true" hidden="false" outlineLevel="0" max="4" min="4" style="0" width="8"/>
  </cols>
  <sheetData>
    <row r="1" customFormat="false" ht="17.35" hidden="false" customHeight="false" outlineLevel="0" collapsed="false">
      <c r="A1" s="1" t="s">
        <v>176</v>
      </c>
      <c r="B1" s="2"/>
      <c r="C1" s="2"/>
      <c r="D1" s="2"/>
    </row>
    <row r="2" customFormat="false" ht="15" hidden="false" customHeight="false" outlineLevel="0" collapsed="false">
      <c r="A2" s="3" t="s">
        <v>1</v>
      </c>
      <c r="B2" s="2"/>
      <c r="C2" s="2"/>
      <c r="D2" s="2"/>
    </row>
    <row r="3" customFormat="false" ht="15" hidden="false" customHeight="false" outlineLevel="0" collapsed="false">
      <c r="A3" s="2"/>
      <c r="B3" s="2"/>
      <c r="C3" s="2"/>
      <c r="D3" s="2"/>
    </row>
    <row r="4" customFormat="false" ht="15" hidden="false" customHeight="false" outlineLevel="0" collapsed="false">
      <c r="A4" s="6" t="s">
        <v>177</v>
      </c>
      <c r="B4" s="6" t="s">
        <v>178</v>
      </c>
      <c r="C4" s="6" t="s">
        <v>21</v>
      </c>
      <c r="D4" s="6" t="s">
        <v>22</v>
      </c>
    </row>
    <row r="5" customFormat="false" ht="15" hidden="false" customHeight="false" outlineLevel="0" collapsed="false">
      <c r="A5" s="2" t="s">
        <v>179</v>
      </c>
      <c r="B5" s="2" t="s">
        <v>180</v>
      </c>
      <c r="C5" s="9" t="n">
        <f aca="false">P_WTG/PF_WTG</f>
        <v>4</v>
      </c>
      <c r="D5" s="2" t="s">
        <v>80</v>
      </c>
    </row>
    <row r="6" customFormat="false" ht="15" hidden="false" customHeight="false" outlineLevel="0" collapsed="false">
      <c r="A6" s="2" t="s">
        <v>181</v>
      </c>
      <c r="B6" s="2" t="s">
        <v>182</v>
      </c>
      <c r="C6" s="9" t="n">
        <f aca="false">SQRT(C5^2-P_WTG^2)</f>
        <v>1.24899959967968</v>
      </c>
      <c r="D6" s="2" t="s">
        <v>183</v>
      </c>
    </row>
    <row r="7" customFormat="false" ht="15" hidden="false" customHeight="false" outlineLevel="0" collapsed="false">
      <c r="A7" s="2" t="s">
        <v>184</v>
      </c>
      <c r="B7" s="2" t="s">
        <v>185</v>
      </c>
      <c r="C7" s="9" t="n">
        <f aca="false">P_WTG*1000000/(SQRT(3)*V_LV*1000)</f>
        <v>3179.61017814577</v>
      </c>
      <c r="D7" s="2" t="s">
        <v>48</v>
      </c>
    </row>
    <row r="8" customFormat="false" ht="15" hidden="false" customHeight="false" outlineLevel="0" collapsed="false">
      <c r="A8" s="2" t="s">
        <v>186</v>
      </c>
      <c r="B8" s="2" t="s">
        <v>187</v>
      </c>
      <c r="C8" s="9" t="n">
        <f aca="false">C5*1000000/(SQRT(3)*V_LV*1000)</f>
        <v>3346.9580822587</v>
      </c>
      <c r="D8" s="2" t="s">
        <v>48</v>
      </c>
    </row>
    <row r="9" customFormat="false" ht="15" hidden="false" customHeight="false" outlineLevel="0" collapsed="false">
      <c r="A9" s="2" t="s">
        <v>188</v>
      </c>
      <c r="B9" s="2" t="s">
        <v>189</v>
      </c>
      <c r="C9" s="9" t="n">
        <f aca="false">C8/V_MIN</f>
        <v>3523.11377079863</v>
      </c>
      <c r="D9" s="2" t="s">
        <v>48</v>
      </c>
    </row>
    <row r="10" customFormat="false" ht="15" hidden="false" customHeight="false" outlineLevel="0" collapsed="false">
      <c r="A10" s="2" t="s">
        <v>190</v>
      </c>
      <c r="B10" s="2" t="s">
        <v>191</v>
      </c>
      <c r="C10" s="9" t="n">
        <f aca="false">P_WTG*1000000/(SQRT(3)*V_MV*1000)</f>
        <v>63.5922035629153</v>
      </c>
      <c r="D10" s="2" t="s">
        <v>48</v>
      </c>
    </row>
    <row r="11" customFormat="false" ht="15" hidden="false" customHeight="false" outlineLevel="0" collapsed="false">
      <c r="A11" s="2" t="s">
        <v>192</v>
      </c>
      <c r="B11" s="2"/>
      <c r="C11" s="9" t="n">
        <f aca="false">C5*1000000/(SQRT(3)*V_MV*1000)</f>
        <v>66.939161645174</v>
      </c>
      <c r="D11" s="2" t="s">
        <v>48</v>
      </c>
    </row>
    <row r="12" customFormat="false" ht="15" hidden="false" customHeight="false" outlineLevel="0" collapsed="false">
      <c r="A12" s="2" t="s">
        <v>193</v>
      </c>
      <c r="B12" s="2"/>
      <c r="C12" s="9" t="n">
        <f aca="false">C11/V_MIN</f>
        <v>70.4622754159726</v>
      </c>
      <c r="D12" s="2" t="s">
        <v>48</v>
      </c>
    </row>
    <row r="13" customFormat="false" ht="15" hidden="false" customHeight="false" outlineLevel="0" collapsed="false">
      <c r="A13" s="2" t="s">
        <v>194</v>
      </c>
      <c r="B13" s="2" t="s">
        <v>195</v>
      </c>
      <c r="C13" s="9" t="n">
        <f aca="false">C5</f>
        <v>4</v>
      </c>
      <c r="D13" s="2" t="s">
        <v>80</v>
      </c>
    </row>
    <row r="14" customFormat="false" ht="15" hidden="false" customHeight="false" outlineLevel="0" collapsed="false">
      <c r="A14" s="2" t="s">
        <v>196</v>
      </c>
      <c r="B14" s="2" t="s">
        <v>197</v>
      </c>
      <c r="C14" s="9" t="n">
        <f aca="false">N_WTG*P_WTG</f>
        <v>102.6</v>
      </c>
      <c r="D14" s="2" t="s">
        <v>32</v>
      </c>
    </row>
    <row r="15" customFormat="false" ht="15" hidden="false" customHeight="false" outlineLevel="0" collapsed="false">
      <c r="A15" s="2" t="s">
        <v>198</v>
      </c>
      <c r="B15" s="2" t="s">
        <v>199</v>
      </c>
      <c r="C15" s="9" t="n">
        <f aca="false">N_WTG*C5</f>
        <v>108</v>
      </c>
      <c r="D15" s="2" t="s">
        <v>80</v>
      </c>
    </row>
    <row r="16" customFormat="false" ht="15" hidden="false" customHeight="false" outlineLevel="0" collapsed="false">
      <c r="A16" s="2" t="s">
        <v>200</v>
      </c>
      <c r="B16" s="2"/>
      <c r="C16" s="9" t="n">
        <f aca="false">C15*1000000/(SQRT(3)*V_MV*1000)</f>
        <v>1807.3573644197</v>
      </c>
      <c r="D16" s="2" t="s">
        <v>48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F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32" min="2" style="0" width="11"/>
  </cols>
  <sheetData>
    <row r="1" customFormat="false" ht="17.35" hidden="false" customHeight="false" outlineLevel="0" collapsed="false">
      <c r="A1" s="1" t="s">
        <v>201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</row>
    <row r="2" customFormat="false" ht="15" hidden="false" customHeight="false" outlineLevel="0" collapsed="false">
      <c r="A2" s="3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</row>
    <row r="4" customFormat="false" ht="23.85" hidden="false" customHeight="false" outlineLevel="0" collapsed="false">
      <c r="A4" s="6" t="s">
        <v>202</v>
      </c>
      <c r="B4" s="6" t="s">
        <v>203</v>
      </c>
      <c r="C4" s="6" t="s">
        <v>204</v>
      </c>
      <c r="D4" s="6" t="s">
        <v>205</v>
      </c>
      <c r="E4" s="6" t="s">
        <v>206</v>
      </c>
      <c r="F4" s="6" t="s">
        <v>207</v>
      </c>
      <c r="G4" s="6" t="s">
        <v>208</v>
      </c>
      <c r="H4" s="6" t="s">
        <v>209</v>
      </c>
      <c r="I4" s="6" t="s">
        <v>210</v>
      </c>
      <c r="J4" s="6" t="s">
        <v>211</v>
      </c>
      <c r="K4" s="6" t="s">
        <v>212</v>
      </c>
      <c r="L4" s="6" t="s">
        <v>213</v>
      </c>
      <c r="M4" s="6" t="s">
        <v>214</v>
      </c>
      <c r="N4" s="6" t="s">
        <v>215</v>
      </c>
      <c r="O4" s="6" t="s">
        <v>216</v>
      </c>
      <c r="P4" s="6" t="s">
        <v>217</v>
      </c>
      <c r="Q4" s="6" t="s">
        <v>218</v>
      </c>
      <c r="R4" s="6" t="s">
        <v>219</v>
      </c>
      <c r="S4" s="6" t="s">
        <v>220</v>
      </c>
      <c r="T4" s="6" t="s">
        <v>221</v>
      </c>
      <c r="U4" s="6" t="s">
        <v>222</v>
      </c>
      <c r="V4" s="6" t="s">
        <v>223</v>
      </c>
      <c r="W4" s="6" t="s">
        <v>224</v>
      </c>
      <c r="X4" s="6" t="s">
        <v>225</v>
      </c>
      <c r="Y4" s="6" t="s">
        <v>226</v>
      </c>
      <c r="Z4" s="6" t="s">
        <v>227</v>
      </c>
      <c r="AA4" s="6" t="s">
        <v>228</v>
      </c>
      <c r="AB4" s="6" t="s">
        <v>229</v>
      </c>
      <c r="AC4" s="6" t="s">
        <v>230</v>
      </c>
      <c r="AD4" s="6" t="s">
        <v>231</v>
      </c>
      <c r="AE4" s="6" t="s">
        <v>232</v>
      </c>
      <c r="AF4" s="6" t="s">
        <v>233</v>
      </c>
    </row>
    <row r="5" customFormat="false" ht="15" hidden="false" customHeight="false" outlineLevel="0" collapsed="false">
      <c r="A5" s="2" t="s">
        <v>234</v>
      </c>
      <c r="B5" s="10" t="n">
        <v>53.49</v>
      </c>
      <c r="C5" s="10" t="n">
        <v>8.53</v>
      </c>
      <c r="D5" s="11" t="n">
        <f aca="false">RHO_AL*K_STR/(B5*0.000001)</f>
        <v>0.000538965787997757</v>
      </c>
      <c r="E5" s="11" t="n">
        <f aca="false">D5*(1+ALPHA_AL*(T_MAX-20))</f>
        <v>0.000691008036791924</v>
      </c>
      <c r="F5" s="12" t="n">
        <f aca="false">(8*PI()*FREQ/E5*0.0000001)^2</f>
        <v>0.0476229202765585</v>
      </c>
      <c r="G5" s="12" t="n">
        <f aca="false">F5/(192+0.8*F5)</f>
        <v>0.000247986835368366</v>
      </c>
      <c r="H5" s="12" t="n">
        <f aca="false">(8*PI()*FREQ/E5*0.0000001*0.8)^2</f>
        <v>0.0304786689769975</v>
      </c>
      <c r="I5" s="12" t="n">
        <f aca="false">C5/O5</f>
        <v>0.2068580851683</v>
      </c>
      <c r="J5" s="12" t="n">
        <f aca="false">H5/(192+0.8*H5)*I5^2*(0.312*I5^2+1.18/(H5/(192+0.8*H5)+0.27))</f>
        <v>2.97558983039907E-005</v>
      </c>
      <c r="K5" s="11" t="n">
        <f aca="false">E5*(1+G5+J5)</f>
        <v>0.000691199959253052</v>
      </c>
      <c r="L5" s="12" t="n">
        <f aca="false">C5+2*T_CS+2*T_INS</f>
        <v>31.07</v>
      </c>
      <c r="M5" s="12" t="n">
        <f aca="false">L5+2*T_IS+D_W</f>
        <v>35.123</v>
      </c>
      <c r="N5" s="12" t="n">
        <f aca="false">L5+2*T_IS+2*D_W</f>
        <v>37.176</v>
      </c>
      <c r="O5" s="12" t="n">
        <f aca="false">N5+2*T_J</f>
        <v>41.236</v>
      </c>
      <c r="P5" s="11" t="n">
        <f aca="false">EPS/(18*LN(L5/(C5+2*T_CS)))*0.000000001</f>
        <v>1.1962570233764E-010</v>
      </c>
      <c r="Q5" s="12" t="n">
        <f aca="false">2*PI()*FREQ*P5*(V_MV*1000/SQRT(3))^2*TAND</f>
        <v>0.0715702519526089</v>
      </c>
      <c r="R5" s="12" t="n">
        <f aca="false">N_W*PI()*D_W^2/4</f>
        <v>36.4133357243814</v>
      </c>
      <c r="S5" s="11" t="n">
        <f aca="false">0.000000017241*(1+0.00393*(T_SCR-20))/(R5*0.000001)</f>
        <v>0.000585127052387398</v>
      </c>
      <c r="T5" s="11" t="n">
        <f aca="false">2*2*PI()*FREQ*0.0000001*LN(2*O5/M5)</f>
        <v>6.43601239406207E-005</v>
      </c>
      <c r="U5" s="12" t="n">
        <f aca="false">S5/K5/(1+(S5/T5)^2)</f>
        <v>0.0101194534917938</v>
      </c>
      <c r="V5" s="12" t="n">
        <f aca="false">RHO_I/(2*PI())*LN(1+2*(T_CS+T_INS+T_IS)/C5)</f>
        <v>0.754813020363438</v>
      </c>
      <c r="W5" s="12" t="n">
        <f aca="false">RHO_J/(2*PI())*LN(1+2*T_J/N5)</f>
        <v>0.0577364704914225</v>
      </c>
      <c r="X5" s="12" t="n">
        <f aca="false">2*DEPTH/(O5/1000)</f>
        <v>48.5013095353575</v>
      </c>
      <c r="Y5" s="12" t="n">
        <f aca="false">1.5/PI()*RHO_S*(LN(2*X5)-0.63)</f>
        <v>2.26016837474097</v>
      </c>
      <c r="Z5" s="13" t="n">
        <f aca="false">SQRT(((T_MAX-T_AMB)-Q5*(0.5*V5+W5+Y5))/(K5*V5+K5*(1+U5)*(W5+Y5)))</f>
        <v>174.01903777423</v>
      </c>
      <c r="AA5" s="12" t="n">
        <f aca="false">2*PI()*FREQ*0.0000002*LN(O5/(0.7788*C5/2))</f>
        <v>0.000189918360322886</v>
      </c>
      <c r="AB5" s="12" t="n">
        <f aca="false">(V_MV*1000)^2*2*PI()*FREQ*P5</f>
        <v>53.6776889644567</v>
      </c>
      <c r="AC5" s="12" t="n">
        <f aca="false">K5*1000</f>
        <v>0.691199959253052</v>
      </c>
      <c r="AD5" s="12" t="n">
        <f aca="false">AA5*1000</f>
        <v>0.189918360322886</v>
      </c>
      <c r="AE5" s="2" t="n">
        <f aca="false">Y5+RHO_S*3/(2*PI())*(2*LN(SQRT(GSP^2+(2*DEPTH)^2)/GSP)+LN(SQRT((2*GSP)^2+(2*DEPTH)^2)/(2*GSP)))</f>
        <v>2.72123837359506</v>
      </c>
      <c r="AF5" s="13" t="n">
        <f aca="false">SQRT(((T_MAX-T_AMB)-Q5*(0.5*V5+W5+AE5))/(K5*V5+K5*(1+U5)*(W5+AE5)))</f>
        <v>162.202441474867</v>
      </c>
    </row>
    <row r="6" customFormat="false" ht="15" hidden="false" customHeight="false" outlineLevel="0" collapsed="false">
      <c r="A6" s="2" t="s">
        <v>235</v>
      </c>
      <c r="B6" s="10" t="n">
        <v>107.2</v>
      </c>
      <c r="C6" s="10" t="n">
        <v>12.07</v>
      </c>
      <c r="D6" s="11" t="n">
        <f aca="false">RHO_AL*K_STR/(B6*0.000001)</f>
        <v>0.000268929850746269</v>
      </c>
      <c r="E6" s="11" t="n">
        <f aca="false">D6*(1+ALPHA_AL*(T_MAX-20))</f>
        <v>0.000344794961641791</v>
      </c>
      <c r="F6" s="12" t="n">
        <f aca="false">(8*PI()*FREQ/E6*0.0000001)^2</f>
        <v>0.191275963421864</v>
      </c>
      <c r="G6" s="12" t="n">
        <f aca="false">F6/(192+0.8*F6)</f>
        <v>0.000995435630700183</v>
      </c>
      <c r="H6" s="12" t="n">
        <f aca="false">(8*PI()*FREQ/E6*0.0000001*0.8)^2</f>
        <v>0.122416616589993</v>
      </c>
      <c r="I6" s="12" t="n">
        <f aca="false">C6/O6</f>
        <v>0.269564052170806</v>
      </c>
      <c r="J6" s="12" t="n">
        <f aca="false">H6/(192+0.8*H6)*I6^2*(0.312*I6^2+1.18/(H6/(192+0.8*H6)+0.27))</f>
        <v>0.000202949707409675</v>
      </c>
      <c r="K6" s="11" t="n">
        <f aca="false">E6*(1+G6+J6)</f>
        <v>0.000345208158868477</v>
      </c>
      <c r="L6" s="12" t="n">
        <f aca="false">C6+2*T_CS+2*T_INS</f>
        <v>34.61</v>
      </c>
      <c r="M6" s="12" t="n">
        <f aca="false">L6+2*T_IS+D_W</f>
        <v>38.663</v>
      </c>
      <c r="N6" s="12" t="n">
        <f aca="false">L6+2*T_IS+2*D_W</f>
        <v>40.716</v>
      </c>
      <c r="O6" s="12" t="n">
        <f aca="false">N6+2*T_J</f>
        <v>44.776</v>
      </c>
      <c r="P6" s="11" t="n">
        <f aca="false">EPS/(18*LN(L6/(C6+2*T_CS)))*0.000000001</f>
        <v>1.44881656474105E-010</v>
      </c>
      <c r="Q6" s="12" t="n">
        <f aca="false">2*PI()*FREQ*P6*(V_MV*1000/SQRT(3))^2*TAND</f>
        <v>0.0866805080725562</v>
      </c>
      <c r="R6" s="12" t="n">
        <f aca="false">N_W*PI()*D_W^2/4</f>
        <v>36.4133357243814</v>
      </c>
      <c r="S6" s="11" t="n">
        <f aca="false">0.000000017241*(1+0.00393*(T_SCR-20))/(R6*0.000001)</f>
        <v>0.000585127052387398</v>
      </c>
      <c r="T6" s="11" t="n">
        <f aca="false">2*2*PI()*FREQ*0.0000001*LN(2*O6/M6)</f>
        <v>6.33297119505789E-005</v>
      </c>
      <c r="U6" s="12" t="n">
        <f aca="false">S6/K6/(1+(S6/T6)^2)</f>
        <v>0.0196257348530867</v>
      </c>
      <c r="V6" s="12" t="n">
        <f aca="false">RHO_I/(2*PI())*LN(1+2*(T_CS+T_INS+T_IS)/C6)</f>
        <v>0.618093241280313</v>
      </c>
      <c r="W6" s="12" t="n">
        <f aca="false">RHO_J/(2*PI())*LN(1+2*T_J/N6)</f>
        <v>0.0529475090629965</v>
      </c>
      <c r="X6" s="12" t="n">
        <f aca="false">2*DEPTH/(O6/1000)</f>
        <v>44.6667857780954</v>
      </c>
      <c r="Y6" s="12" t="n">
        <f aca="false">1.5/PI()*RHO_S*(LN(2*X6)-0.63)</f>
        <v>2.2129792152968</v>
      </c>
      <c r="Z6" s="13" t="n">
        <f aca="false">SQRT(((T_MAX-T_AMB)-Q6*(0.5*V6+W6+Y6))/(K6*V6+K6*(1+U6)*(W6+Y6)))</f>
        <v>253.132153376896</v>
      </c>
      <c r="AA6" s="12" t="n">
        <f aca="false">2*PI()*FREQ*0.0000002*LN(O6/(0.7788*C6/2))</f>
        <v>0.000169954942427806</v>
      </c>
      <c r="AB6" s="12" t="n">
        <f aca="false">(V_MV*1000)^2*2*PI()*FREQ*P6</f>
        <v>65.0103810544171</v>
      </c>
      <c r="AC6" s="12" t="n">
        <f aca="false">K6*1000</f>
        <v>0.345208158868477</v>
      </c>
      <c r="AD6" s="12" t="n">
        <f aca="false">AA6*1000</f>
        <v>0.169954942427806</v>
      </c>
      <c r="AE6" s="2" t="n">
        <f aca="false">Y6+RHO_S*3/(2*PI())*(2*LN(SQRT(GSP^2+(2*DEPTH)^2)/GSP)+LN(SQRT((2*GSP)^2+(2*DEPTH)^2)/(2*GSP)))</f>
        <v>2.6740492141509</v>
      </c>
      <c r="AF6" s="13" t="n">
        <f aca="false">SQRT(((T_MAX-T_AMB)-Q6*(0.5*V6+W6+AE6))/(K6*V6+K6*(1+U6)*(W6+AE6)))</f>
        <v>234.900847464313</v>
      </c>
    </row>
    <row r="7" customFormat="false" ht="15" hidden="false" customHeight="false" outlineLevel="0" collapsed="false">
      <c r="A7" s="2" t="s">
        <v>236</v>
      </c>
      <c r="B7" s="10" t="n">
        <v>177.3</v>
      </c>
      <c r="C7" s="10" t="n">
        <v>15.65</v>
      </c>
      <c r="D7" s="11" t="n">
        <f aca="false">RHO_AL*K_STR/(B7*0.000001)</f>
        <v>0.000162601692047377</v>
      </c>
      <c r="E7" s="11" t="n">
        <f aca="false">D7*(1+ALPHA_AL*(T_MAX-20))</f>
        <v>0.000208471629373942</v>
      </c>
      <c r="F7" s="12" t="n">
        <f aca="false">(8*PI()*FREQ/E7*0.0000001)^2</f>
        <v>0.523224773421463</v>
      </c>
      <c r="G7" s="12" t="n">
        <f aca="false">F7/(192+0.8*F7)</f>
        <v>0.00271920088961447</v>
      </c>
      <c r="H7" s="12" t="n">
        <f aca="false">(8*PI()*FREQ/E7*0.0000001*0.8)^2</f>
        <v>0.334863854989736</v>
      </c>
      <c r="I7" s="12" t="n">
        <f aca="false">C7/O7</f>
        <v>0.32364132682604</v>
      </c>
      <c r="J7" s="12" t="n">
        <f aca="false">H7/(192+0.8*H7)*I7^2*(0.312*I7^2+1.18/(H7/(192+0.8*H7)+0.27))</f>
        <v>0.000798125997687438</v>
      </c>
      <c r="K7" s="11" t="n">
        <f aca="false">E7*(1+G7+J7)</f>
        <v>0.000209204892241179</v>
      </c>
      <c r="L7" s="12" t="n">
        <f aca="false">C7+2*T_CS+2*T_INS</f>
        <v>38.19</v>
      </c>
      <c r="M7" s="12" t="n">
        <f aca="false">L7+2*T_IS+D_W</f>
        <v>42.243</v>
      </c>
      <c r="N7" s="12" t="n">
        <f aca="false">L7+2*T_IS+2*D_W</f>
        <v>44.296</v>
      </c>
      <c r="O7" s="12" t="n">
        <f aca="false">N7+2*T_J</f>
        <v>48.356</v>
      </c>
      <c r="P7" s="11" t="n">
        <f aca="false">EPS/(18*LN(L7/(C7+2*T_CS)))*0.000000001</f>
        <v>1.69744533392E-010</v>
      </c>
      <c r="Q7" s="12" t="n">
        <f aca="false">2*PI()*FREQ*P7*(V_MV*1000/SQRT(3))^2*TAND</f>
        <v>0.101555592026154</v>
      </c>
      <c r="R7" s="12" t="n">
        <f aca="false">N_W*PI()*D_W^2/4</f>
        <v>36.4133357243814</v>
      </c>
      <c r="S7" s="11" t="n">
        <f aca="false">0.000000017241*(1+0.00393*(T_SCR-20))/(R7*0.000001)</f>
        <v>0.000585127052387398</v>
      </c>
      <c r="T7" s="11" t="n">
        <f aca="false">2*2*PI()*FREQ*0.0000001*LN(2*O7/M7)</f>
        <v>6.2452260485669E-005</v>
      </c>
      <c r="U7" s="12" t="n">
        <f aca="false">S7/K7/(1+(S7/T7)^2)</f>
        <v>0.0315032124685881</v>
      </c>
      <c r="V7" s="12" t="n">
        <f aca="false">RHO_I/(2*PI())*LN(1+2*(T_CS+T_INS+T_IS)/C7)</f>
        <v>0.525372937256897</v>
      </c>
      <c r="W7" s="12" t="n">
        <f aca="false">RHO_J/(2*PI())*LN(1+2*T_J/N7)</f>
        <v>0.0488503425191126</v>
      </c>
      <c r="X7" s="12" t="n">
        <f aca="false">2*DEPTH/(O7/1000)</f>
        <v>41.3599139713789</v>
      </c>
      <c r="Y7" s="12" t="n">
        <f aca="false">1.5/PI()*RHO_S*(LN(2*X7)-0.63)</f>
        <v>2.16890843171096</v>
      </c>
      <c r="Z7" s="13" t="n">
        <f aca="false">SQRT(((T_MAX-T_AMB)-Q7*(0.5*V7+W7+Y7))/(K7*V7+K7*(1+U7)*(W7+Y7)))</f>
        <v>331.698002282653</v>
      </c>
      <c r="AA7" s="12" t="n">
        <f aca="false">2*PI()*FREQ*0.0000002*LN(O7/(0.7788*C7/2))</f>
        <v>0.000156169896189904</v>
      </c>
      <c r="AB7" s="12" t="n">
        <f aca="false">(V_MV*1000)^2*2*PI()*FREQ*P7</f>
        <v>76.1666940196153</v>
      </c>
      <c r="AC7" s="12" t="n">
        <f aca="false">K7*1000</f>
        <v>0.209204892241179</v>
      </c>
      <c r="AD7" s="12" t="n">
        <f aca="false">AA7*1000</f>
        <v>0.156169896189904</v>
      </c>
      <c r="AE7" s="2" t="n">
        <f aca="false">Y7+RHO_S*3/(2*PI())*(2*LN(SQRT(GSP^2+(2*DEPTH)^2)/GSP)+LN(SQRT((2*GSP)^2+(2*DEPTH)^2)/(2*GSP)))</f>
        <v>2.62997843056506</v>
      </c>
      <c r="AF7" s="13" t="n">
        <f aca="false">SQRT(((T_MAX-T_AMB)-Q7*(0.5*V7+W7+AE7))/(K7*V7+K7*(1+U7)*(W7+AE7)))</f>
        <v>306.665839806913</v>
      </c>
    </row>
    <row r="8" customFormat="false" ht="15" hidden="false" customHeight="false" outlineLevel="0" collapsed="false">
      <c r="A8" s="2" t="s">
        <v>237</v>
      </c>
      <c r="B8" s="10" t="n">
        <v>253.4</v>
      </c>
      <c r="C8" s="10" t="n">
        <v>18.69</v>
      </c>
      <c r="D8" s="11" t="n">
        <f aca="false">RHO_AL*K_STR/(B8*0.000001)</f>
        <v>0.000113769850039463</v>
      </c>
      <c r="E8" s="11" t="n">
        <f aca="false">D8*(1+ALPHA_AL*(T_MAX-20))</f>
        <v>0.000145864324735596</v>
      </c>
      <c r="F8" s="12" t="n">
        <f aca="false">(8*PI()*FREQ/E8*0.0000001)^2</f>
        <v>1.06876949225023</v>
      </c>
      <c r="G8" s="12" t="n">
        <f aca="false">F8/(192+0.8*F8)</f>
        <v>0.00554182886537583</v>
      </c>
      <c r="H8" s="12" t="n">
        <f aca="false">(8*PI()*FREQ/E8*0.0000001*0.8)^2</f>
        <v>0.684012475040145</v>
      </c>
      <c r="I8" s="12" t="n">
        <f aca="false">C8/O8</f>
        <v>0.363646976418398</v>
      </c>
      <c r="J8" s="12" t="n">
        <f aca="false">H8/(192+0.8*H8)*I8^2*(0.312*I8^2+1.18/(H8/(192+0.8*H8)+0.27))</f>
        <v>0.0020457960791306</v>
      </c>
      <c r="K8" s="11" t="n">
        <f aca="false">E8*(1+G8+J8)</f>
        <v>0.000146971088524473</v>
      </c>
      <c r="L8" s="12" t="n">
        <f aca="false">C8+2*T_CS+2*T_INS</f>
        <v>41.23</v>
      </c>
      <c r="M8" s="12" t="n">
        <f aca="false">L8+2*T_IS+D_W</f>
        <v>45.283</v>
      </c>
      <c r="N8" s="12" t="n">
        <f aca="false">L8+2*T_IS+2*D_W</f>
        <v>47.336</v>
      </c>
      <c r="O8" s="12" t="n">
        <f aca="false">N8+2*T_J</f>
        <v>51.396</v>
      </c>
      <c r="P8" s="11" t="n">
        <f aca="false">EPS/(18*LN(L8/(C8+2*T_CS)))*0.000000001</f>
        <v>1.90533053242581E-010</v>
      </c>
      <c r="Q8" s="12" t="n">
        <f aca="false">2*PI()*FREQ*P8*(V_MV*1000/SQRT(3))^2*TAND</f>
        <v>0.113993049649002</v>
      </c>
      <c r="R8" s="12" t="n">
        <f aca="false">N_W*PI()*D_W^2/4</f>
        <v>36.4133357243814</v>
      </c>
      <c r="S8" s="11" t="n">
        <f aca="false">0.000000017241*(1+0.00393*(T_SCR-20))/(R8*0.000001)</f>
        <v>0.000585127052387398</v>
      </c>
      <c r="T8" s="11" t="n">
        <f aca="false">2*2*PI()*FREQ*0.0000001*LN(2*O8/M8)</f>
        <v>6.18096423727675E-005</v>
      </c>
      <c r="U8" s="12" t="n">
        <f aca="false">S8/K8/(1+(S8/T8)^2)</f>
        <v>0.0439350441348137</v>
      </c>
      <c r="V8" s="12" t="n">
        <f aca="false">RHO_I/(2*PI())*LN(1+2*(T_CS+T_INS+T_IS)/C8)</f>
        <v>0.467105636195166</v>
      </c>
      <c r="W8" s="12" t="n">
        <f aca="false">RHO_J/(2*PI())*LN(1+2*T_J/N8)</f>
        <v>0.0458385892796831</v>
      </c>
      <c r="X8" s="12" t="n">
        <f aca="false">2*DEPTH/(O8/1000)</f>
        <v>38.9135341271694</v>
      </c>
      <c r="Y8" s="12" t="n">
        <f aca="false">1.5/PI()*RHO_S*(LN(2*X8)-0.63)</f>
        <v>2.13397517254979</v>
      </c>
      <c r="Z8" s="13" t="n">
        <f aca="false">SQRT(((T_MAX-T_AMB)-Q8*(0.5*V8+W8+Y8))/(K8*V8+K8*(1+U8)*(W8+Y8)))</f>
        <v>400.71111057974</v>
      </c>
      <c r="AA8" s="12" t="n">
        <f aca="false">2*PI()*FREQ*0.0000002*LN(O8/(0.7788*C8/2))</f>
        <v>0.00014738240924399</v>
      </c>
      <c r="AB8" s="12" t="n">
        <f aca="false">(V_MV*1000)^2*2*PI()*FREQ*P8</f>
        <v>85.4947872367517</v>
      </c>
      <c r="AC8" s="12" t="n">
        <f aca="false">K8*1000</f>
        <v>0.146971088524473</v>
      </c>
      <c r="AD8" s="12" t="n">
        <f aca="false">AA8*1000</f>
        <v>0.14738240924399</v>
      </c>
      <c r="AE8" s="2" t="n">
        <f aca="false">Y8+RHO_S*3/(2*PI())*(2*LN(SQRT(GSP^2+(2*DEPTH)^2)/GSP)+LN(SQRT((2*GSP)^2+(2*DEPTH)^2)/(2*GSP)))</f>
        <v>2.59504517140389</v>
      </c>
      <c r="AF8" s="13" t="n">
        <f aca="false">SQRT(((T_MAX-T_AMB)-Q8*(0.5*V8+W8+AE8))/(K8*V8+K8*(1+U8)*(W8+AE8)))</f>
        <v>369.440640532267</v>
      </c>
    </row>
    <row r="9" customFormat="false" ht="15" hidden="false" customHeight="false" outlineLevel="0" collapsed="false">
      <c r="A9" s="2" t="s">
        <v>238</v>
      </c>
      <c r="B9" s="10" t="n">
        <v>380</v>
      </c>
      <c r="C9" s="10" t="n">
        <v>23.06</v>
      </c>
      <c r="D9" s="11" t="n">
        <f aca="false">RHO_AL*K_STR/(B9*0.000001)</f>
        <v>7.58665263157895E-005</v>
      </c>
      <c r="E9" s="11" t="n">
        <f aca="false">D9*(1+ALPHA_AL*(T_MAX-20))</f>
        <v>9.72684733894737E-005</v>
      </c>
      <c r="F9" s="12" t="n">
        <f aca="false">(8*PI()*FREQ/E9*0.0000001)^2</f>
        <v>2.40346620890277</v>
      </c>
      <c r="G9" s="12" t="n">
        <f aca="false">F9/(192+0.8*F9)</f>
        <v>0.0123939348232724</v>
      </c>
      <c r="H9" s="12" t="n">
        <f aca="false">(8*PI()*FREQ/E9*0.0000001*0.8)^2</f>
        <v>1.53821837369777</v>
      </c>
      <c r="I9" s="12" t="n">
        <f aca="false">C9/O9</f>
        <v>0.41351361044364</v>
      </c>
      <c r="J9" s="12" t="n">
        <f aca="false">H9/(192+0.8*H9)*I9^2*(0.312*I9^2+1.18/(H9/(192+0.8*H9)+0.27))</f>
        <v>0.00585119340235439</v>
      </c>
      <c r="K9" s="11" t="n">
        <f aca="false">E9*(1+G9+J9)</f>
        <v>9.90431491587756E-005</v>
      </c>
      <c r="L9" s="12" t="n">
        <f aca="false">C9+2*T_CS+2*T_INS</f>
        <v>45.6</v>
      </c>
      <c r="M9" s="12" t="n">
        <f aca="false">L9+2*T_IS+D_W</f>
        <v>49.653</v>
      </c>
      <c r="N9" s="12" t="n">
        <f aca="false">L9+2*T_IS+2*D_W</f>
        <v>51.706</v>
      </c>
      <c r="O9" s="12" t="n">
        <f aca="false">N9+2*T_J</f>
        <v>55.766</v>
      </c>
      <c r="P9" s="11" t="n">
        <f aca="false">EPS/(18*LN(L9/(C9+2*T_CS)))*0.000000001</f>
        <v>2.20081685562644E-010</v>
      </c>
      <c r="Q9" s="12" t="n">
        <f aca="false">2*PI()*FREQ*P9*(V_MV*1000/SQRT(3))^2*TAND</f>
        <v>0.131671550328003</v>
      </c>
      <c r="R9" s="12" t="n">
        <f aca="false">N_W*PI()*D_W^2/4</f>
        <v>36.4133357243814</v>
      </c>
      <c r="S9" s="11" t="n">
        <f aca="false">0.000000017241*(1+0.00393*(T_SCR-20))/(R9*0.000001)</f>
        <v>0.000585127052387398</v>
      </c>
      <c r="T9" s="11" t="n">
        <f aca="false">2*2*PI()*FREQ*0.0000001*LN(2*O9/M9)</f>
        <v>6.10162186276623E-005</v>
      </c>
      <c r="U9" s="12" t="n">
        <f aca="false">S9/K9/(1+(S9/T9)^2)</f>
        <v>0.0635504931143823</v>
      </c>
      <c r="V9" s="12" t="n">
        <f aca="false">RHO_I/(2*PI())*LN(1+2*(T_CS+T_INS+T_IS)/C9)</f>
        <v>0.403707075054617</v>
      </c>
      <c r="W9" s="12" t="n">
        <f aca="false">RHO_J/(2*PI())*LN(1+2*T_J/N9)</f>
        <v>0.0421071259497072</v>
      </c>
      <c r="X9" s="12" t="n">
        <f aca="false">2*DEPTH/(O9/1000)</f>
        <v>35.8641466126314</v>
      </c>
      <c r="Y9" s="12" t="n">
        <f aca="false">1.5/PI()*RHO_S*(LN(2*X9)-0.63)</f>
        <v>2.08721951532001</v>
      </c>
      <c r="Z9" s="13" t="n">
        <f aca="false">SQRT(((T_MAX-T_AMB)-Q9*(0.5*V9+W9+Y9))/(K9*V9+K9*(1+U9)*(W9+Y9)))</f>
        <v>494.760378235193</v>
      </c>
      <c r="AA9" s="12" t="n">
        <f aca="false">2*PI()*FREQ*0.0000002*LN(O9/(0.7788*C9/2))</f>
        <v>0.000137693218978132</v>
      </c>
      <c r="AB9" s="12" t="n">
        <f aca="false">(V_MV*1000)^2*2*PI()*FREQ*P9</f>
        <v>98.7536627460023</v>
      </c>
      <c r="AC9" s="12" t="n">
        <f aca="false">K9*1000</f>
        <v>0.0990431491587756</v>
      </c>
      <c r="AD9" s="12" t="n">
        <f aca="false">AA9*1000</f>
        <v>0.137693218978132</v>
      </c>
      <c r="AE9" s="2" t="n">
        <f aca="false">Y9+RHO_S*3/(2*PI())*(2*LN(SQRT(GSP^2+(2*DEPTH)^2)/GSP)+LN(SQRT((2*GSP)^2+(2*DEPTH)^2)/(2*GSP)))</f>
        <v>2.54828951417411</v>
      </c>
      <c r="AF9" s="13" t="n">
        <f aca="false">SQRT(((T_MAX-T_AMB)-Q9*(0.5*V9+W9+AE9))/(K9*V9+K9*(1+U9)*(W9+AE9)))</f>
        <v>454.524012253741</v>
      </c>
    </row>
    <row r="10" customFormat="false" ht="15" hidden="false" customHeight="false" outlineLevel="0" collapsed="false">
      <c r="A10" s="2" t="s">
        <v>239</v>
      </c>
      <c r="B10" s="10" t="n">
        <v>506.7</v>
      </c>
      <c r="C10" s="10" t="n">
        <v>26.92</v>
      </c>
      <c r="D10" s="11" t="n">
        <f aca="false">RHO_AL*K_STR/(B10*0.000001)</f>
        <v>5.68961515689757E-005</v>
      </c>
      <c r="E10" s="11" t="n">
        <f aca="false">D10*(1+ALPHA_AL*(T_MAX-20))</f>
        <v>7.29465559265838E-005</v>
      </c>
      <c r="F10" s="12" t="n">
        <f aca="false">(8*PI()*FREQ/E10*0.0000001)^2</f>
        <v>4.27339104863891</v>
      </c>
      <c r="G10" s="12" t="n">
        <f aca="false">F10/(192+0.8*F10)</f>
        <v>0.0218678702083233</v>
      </c>
      <c r="H10" s="12" t="n">
        <f aca="false">(8*PI()*FREQ/E10*0.0000001*0.8)^2</f>
        <v>2.7349702711289</v>
      </c>
      <c r="I10" s="12" t="n">
        <f aca="false">C10/O10</f>
        <v>0.451480897595009</v>
      </c>
      <c r="J10" s="12" t="n">
        <f aca="false">H10/(192+0.8*H10)*I10^2*(0.312*I10^2+1.18/(H10/(192+0.8*H10)+0.27))</f>
        <v>0.0121071819286546</v>
      </c>
      <c r="K10" s="11" t="n">
        <f aca="false">E10*(1+G10+J10)</f>
        <v>7.54249189674025E-005</v>
      </c>
      <c r="L10" s="12" t="n">
        <f aca="false">C10+2*T_CS+2*T_INS</f>
        <v>49.46</v>
      </c>
      <c r="M10" s="12" t="n">
        <f aca="false">L10+2*T_IS+D_W</f>
        <v>53.513</v>
      </c>
      <c r="N10" s="12" t="n">
        <f aca="false">L10+2*T_IS+2*D_W</f>
        <v>55.566</v>
      </c>
      <c r="O10" s="12" t="n">
        <f aca="false">N10+2*T_J</f>
        <v>59.626</v>
      </c>
      <c r="P10" s="11" t="n">
        <f aca="false">EPS/(18*LN(L10/(C10+2*T_CS)))*0.000000001</f>
        <v>2.45958955537533E-010</v>
      </c>
      <c r="Q10" s="12" t="n">
        <f aca="false">2*PI()*FREQ*P10*(V_MV*1000/SQRT(3))^2*TAND</f>
        <v>0.147153530335285</v>
      </c>
      <c r="R10" s="12" t="n">
        <f aca="false">N_W*PI()*D_W^2/4</f>
        <v>36.4133357243814</v>
      </c>
      <c r="S10" s="11" t="n">
        <f aca="false">0.000000017241*(1+0.00393*(T_SCR-20))/(R10*0.000001)</f>
        <v>0.000585127052387398</v>
      </c>
      <c r="T10" s="11" t="n">
        <f aca="false">2*2*PI()*FREQ*0.0000001*LN(2*O10/M10)</f>
        <v>6.04176737845876E-005</v>
      </c>
      <c r="U10" s="12" t="n">
        <f aca="false">S10/K10/(1+(S10/T10)^2)</f>
        <v>0.081838403699571</v>
      </c>
      <c r="V10" s="12" t="n">
        <f aca="false">RHO_I/(2*PI())*LN(1+2*(T_CS+T_INS+T_IS)/C10)</f>
        <v>0.360927371452572</v>
      </c>
      <c r="W10" s="12" t="n">
        <f aca="false">RHO_J/(2*PI())*LN(1+2*T_J/N10)</f>
        <v>0.0392827440101893</v>
      </c>
      <c r="X10" s="12" t="n">
        <f aca="false">2*DEPTH/(O10/1000)</f>
        <v>33.5424143829873</v>
      </c>
      <c r="Y10" s="12" t="n">
        <f aca="false">1.5/PI()*RHO_S*(LN(2*X10)-0.63)</f>
        <v>2.04887296506351</v>
      </c>
      <c r="Z10" s="13" t="n">
        <f aca="false">SQRT(((T_MAX-T_AMB)-Q10*(0.5*V10+W10+Y10))/(K10*V10+K10*(1+U10)*(W10+Y10)))</f>
        <v>572.048170424822</v>
      </c>
      <c r="AA10" s="12" t="n">
        <f aca="false">2*PI()*FREQ*0.0000002*LN(O10/(0.7788*C10/2))</f>
        <v>0.000131070040406106</v>
      </c>
      <c r="AB10" s="12" t="n">
        <f aca="false">(V_MV*1000)^2*2*PI()*FREQ*P10</f>
        <v>110.365147751464</v>
      </c>
      <c r="AC10" s="12" t="n">
        <f aca="false">K10*1000</f>
        <v>0.0754249189674024</v>
      </c>
      <c r="AD10" s="12" t="n">
        <f aca="false">AA10*1000</f>
        <v>0.131070040406105</v>
      </c>
      <c r="AE10" s="2" t="n">
        <f aca="false">Y10+RHO_S*3/(2*PI())*(2*LN(SQRT(GSP^2+(2*DEPTH)^2)/GSP)+LN(SQRT((2*GSP)^2+(2*DEPTH)^2)/(2*GSP)))</f>
        <v>2.5099429639176</v>
      </c>
      <c r="AF10" s="13" t="n">
        <f aca="false">SQRT(((T_MAX-T_AMB)-Q10*(0.5*V10+W10+AE10))/(K10*V10+K10*(1+U10)*(W10+AE10)))</f>
        <v>524.03581298967</v>
      </c>
    </row>
    <row r="11" customFormat="false" ht="15" hidden="false" customHeight="false" outlineLevel="0" collapsed="false">
      <c r="A11" s="2" t="s">
        <v>240</v>
      </c>
      <c r="B11" s="10" t="n">
        <v>633.4</v>
      </c>
      <c r="C11" s="10" t="n">
        <v>30.23</v>
      </c>
      <c r="D11" s="11" t="n">
        <f aca="false">RHO_AL*K_STR/(B11*0.000001)</f>
        <v>4.55151247237133E-005</v>
      </c>
      <c r="E11" s="11" t="n">
        <f aca="false">D11*(1+ALPHA_AL*(T_MAX-20))</f>
        <v>5.83549414082728E-005</v>
      </c>
      <c r="F11" s="12" t="n">
        <f aca="false">(8*PI()*FREQ/E11*0.0000001)^2</f>
        <v>6.67770063450016</v>
      </c>
      <c r="G11" s="12" t="n">
        <f aca="false">F11/(192+0.8*F11)</f>
        <v>0.0338381855013845</v>
      </c>
      <c r="H11" s="12" t="n">
        <f aca="false">(8*PI()*FREQ/E11*0.0000001*0.8)^2</f>
        <v>4.27372840608011</v>
      </c>
      <c r="I11" s="12" t="n">
        <f aca="false">C11/O11</f>
        <v>0.480329223337994</v>
      </c>
      <c r="J11" s="12" t="n">
        <f aca="false">H11/(192+0.8*H11)*I11^2*(0.312*I11^2+1.18/(H11/(192+0.8*H11)+0.27))</f>
        <v>0.0207623219457901</v>
      </c>
      <c r="K11" s="11" t="n">
        <f aca="false">E11*(1+G11+J11)</f>
        <v>6.15411508212147E-005</v>
      </c>
      <c r="L11" s="12" t="n">
        <f aca="false">C11+2*T_CS+2*T_INS</f>
        <v>52.77</v>
      </c>
      <c r="M11" s="12" t="n">
        <f aca="false">L11+2*T_IS+D_W</f>
        <v>56.823</v>
      </c>
      <c r="N11" s="12" t="n">
        <f aca="false">L11+2*T_IS+2*D_W</f>
        <v>58.876</v>
      </c>
      <c r="O11" s="12" t="n">
        <f aca="false">N11+2*T_J</f>
        <v>62.936</v>
      </c>
      <c r="P11" s="11" t="n">
        <f aca="false">EPS/(18*LN(L11/(C11+2*T_CS)))*0.000000001</f>
        <v>2.68032131301916E-010</v>
      </c>
      <c r="Q11" s="12" t="n">
        <f aca="false">2*PI()*FREQ*P11*(V_MV*1000/SQRT(3))^2*TAND</f>
        <v>0.160359578199417</v>
      </c>
      <c r="R11" s="12" t="n">
        <f aca="false">N_W*PI()*D_W^2/4</f>
        <v>36.4133357243814</v>
      </c>
      <c r="S11" s="11" t="n">
        <f aca="false">0.000000017241*(1+0.00393*(T_SCR-20))/(R11*0.000001)</f>
        <v>0.000585127052387398</v>
      </c>
      <c r="T11" s="11" t="n">
        <f aca="false">2*2*PI()*FREQ*0.0000001*LN(2*O11/M11)</f>
        <v>5.99660428103667E-005</v>
      </c>
      <c r="U11" s="12" t="n">
        <f aca="false">S11/K11/(1+(S11/T11)^2)</f>
        <v>0.0988228588657354</v>
      </c>
      <c r="V11" s="12" t="n">
        <f aca="false">RHO_I/(2*PI())*LN(1+2*(T_CS+T_INS+T_IS)/C11)</f>
        <v>0.331054578740195</v>
      </c>
      <c r="W11" s="12" t="n">
        <f aca="false">RHO_J/(2*PI())*LN(1+2*T_J/N11)</f>
        <v>0.0371462542528245</v>
      </c>
      <c r="X11" s="12" t="n">
        <f aca="false">2*DEPTH/(O11/1000)</f>
        <v>31.7783144782001</v>
      </c>
      <c r="Y11" s="12" t="n">
        <f aca="false">1.5/PI()*RHO_S*(LN(2*X11)-0.63)</f>
        <v>2.01791799401213</v>
      </c>
      <c r="Z11" s="13" t="n">
        <f aca="false">SQRT(((T_MAX-T_AMB)-Q11*(0.5*V11+W11+Y11))/(K11*V11+K11*(1+U11)*(W11+Y11)))</f>
        <v>636.938757393802</v>
      </c>
      <c r="AA11" s="12" t="n">
        <f aca="false">2*PI()*FREQ*0.0000002*LN(O11/(0.7788*C11/2))</f>
        <v>0.000126399973387819</v>
      </c>
      <c r="AB11" s="12" t="n">
        <f aca="false">(V_MV*1000)^2*2*PI()*FREQ*P11</f>
        <v>120.269683649562</v>
      </c>
      <c r="AC11" s="12" t="n">
        <f aca="false">K11*1000</f>
        <v>0.0615411508212147</v>
      </c>
      <c r="AD11" s="12" t="n">
        <f aca="false">AA11*1000</f>
        <v>0.126399973387819</v>
      </c>
      <c r="AE11" s="2" t="n">
        <f aca="false">Y11+RHO_S*3/(2*PI())*(2*LN(SQRT(GSP^2+(2*DEPTH)^2)/GSP)+LN(SQRT((2*GSP)^2+(2*DEPTH)^2)/(2*GSP)))</f>
        <v>2.47898799286623</v>
      </c>
      <c r="AF11" s="13" t="n">
        <f aca="false">SQRT(((T_MAX-T_AMB)-Q11*(0.5*V11+W11+AE11))/(K11*V11+K11*(1+U11)*(W11+AE11)))</f>
        <v>582.161127731525</v>
      </c>
    </row>
    <row r="12" customFormat="false" ht="15" hidden="false" customHeight="false" outlineLevel="0" collapsed="false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</row>
    <row r="13" customFormat="false" ht="15" hidden="false" customHeight="false" outlineLevel="0" collapsed="false">
      <c r="A13" s="14" t="s">
        <v>241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</row>
    <row r="14" customFormat="false" ht="15" hidden="false" customHeight="false" outlineLevel="0" collapsed="false">
      <c r="A14" s="2" t="s">
        <v>242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</row>
    <row r="15" customFormat="false" ht="15" hidden="false" customHeight="false" outlineLevel="0" collapsed="false">
      <c r="A15" s="2" t="s">
        <v>243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</row>
    <row r="16" customFormat="false" ht="15" hidden="false" customHeight="false" outlineLevel="0" collapsed="false">
      <c r="A16" s="2" t="s">
        <v>244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</row>
    <row r="17" customFormat="false" ht="15" hidden="false" customHeight="false" outlineLevel="0" collapsed="false">
      <c r="A17" s="2" t="s">
        <v>245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9"/>
    <col collapsed="false" customWidth="true" hidden="false" outlineLevel="0" max="3" min="3" style="0" width="42"/>
    <col collapsed="false" customWidth="true" hidden="false" outlineLevel="0" max="4" min="4" style="0" width="10"/>
    <col collapsed="false" customWidth="true" hidden="false" outlineLevel="0" max="6" min="5" style="0" width="9"/>
    <col collapsed="false" customWidth="true" hidden="false" outlineLevel="0" max="8" min="7" style="0" width="11"/>
    <col collapsed="false" customWidth="true" hidden="false" outlineLevel="0" max="9" min="9" style="0" width="16"/>
    <col collapsed="false" customWidth="true" hidden="false" outlineLevel="0" max="10" min="10" style="0" width="11"/>
    <col collapsed="false" customWidth="true" hidden="false" outlineLevel="0" max="11" min="11" style="0" width="9"/>
    <col collapsed="false" customWidth="true" hidden="false" outlineLevel="0" max="14" min="12" style="0" width="10"/>
    <col collapsed="false" customWidth="true" hidden="false" outlineLevel="0" max="15" min="15" style="0" width="9"/>
    <col collapsed="false" customWidth="true" hidden="false" outlineLevel="0" max="16" min="16" style="0" width="10"/>
    <col collapsed="false" customWidth="true" hidden="false" outlineLevel="0" max="17" min="17" style="0" width="9"/>
  </cols>
  <sheetData>
    <row r="1" customFormat="false" ht="17.35" hidden="false" customHeight="false" outlineLevel="0" collapsed="false">
      <c r="A1" s="1" t="s">
        <v>246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 customFormat="false" ht="15" hidden="false" customHeight="false" outlineLevel="0" collapsed="false">
      <c r="A2" s="3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customFormat="false" ht="46.25" hidden="false" customHeight="false" outlineLevel="0" collapsed="false">
      <c r="A4" s="6" t="s">
        <v>247</v>
      </c>
      <c r="B4" s="6" t="s">
        <v>248</v>
      </c>
      <c r="C4" s="6" t="s">
        <v>249</v>
      </c>
      <c r="D4" s="6" t="s">
        <v>250</v>
      </c>
      <c r="E4" s="6" t="s">
        <v>251</v>
      </c>
      <c r="F4" s="6" t="s">
        <v>252</v>
      </c>
      <c r="G4" s="6" t="s">
        <v>253</v>
      </c>
      <c r="H4" s="6" t="s">
        <v>254</v>
      </c>
      <c r="I4" s="6" t="s">
        <v>255</v>
      </c>
      <c r="J4" s="6" t="s">
        <v>227</v>
      </c>
      <c r="K4" s="6" t="s">
        <v>256</v>
      </c>
      <c r="L4" s="6" t="s">
        <v>257</v>
      </c>
      <c r="M4" s="6" t="s">
        <v>230</v>
      </c>
      <c r="N4" s="6" t="s">
        <v>231</v>
      </c>
      <c r="O4" s="6" t="s">
        <v>258</v>
      </c>
      <c r="P4" s="6" t="s">
        <v>259</v>
      </c>
      <c r="Q4" s="2"/>
    </row>
    <row r="5" customFormat="false" ht="15" hidden="false" customHeight="false" outlineLevel="0" collapsed="false">
      <c r="A5" s="2" t="s">
        <v>260</v>
      </c>
      <c r="B5" s="2" t="n">
        <v>1</v>
      </c>
      <c r="C5" s="2" t="s">
        <v>261</v>
      </c>
      <c r="D5" s="2" t="n">
        <v>1</v>
      </c>
      <c r="E5" s="9" t="n">
        <f aca="false">D5*P_WTG</f>
        <v>3.8</v>
      </c>
      <c r="F5" s="9" t="n">
        <f aca="false">D5*WTG!$C$5</f>
        <v>4</v>
      </c>
      <c r="G5" s="9" t="n">
        <f aca="false">F5*1000000/(SQRT(3)*V_MV*1000)</f>
        <v>66.939161645174</v>
      </c>
      <c r="H5" s="9" t="n">
        <f aca="false">G5/V_MIN</f>
        <v>70.4622754159726</v>
      </c>
      <c r="I5" s="2" t="str">
        <f aca="false">INDEX(SIZE_LIST,IFERROR(MATCH(H5-0.0001,AMP_LIST,1),0)+1)</f>
        <v>1/0 AWG</v>
      </c>
      <c r="J5" s="9" t="n">
        <f aca="false">INDEX(AMP_LIST,MATCH(I5,SIZE_LIST,0))</f>
        <v>174.01903777423</v>
      </c>
      <c r="K5" s="15" t="n">
        <f aca="false">H5/J5</f>
        <v>0.404911303482722</v>
      </c>
      <c r="L5" s="9" t="n">
        <f aca="false">L_INT</f>
        <v>0.616</v>
      </c>
      <c r="M5" s="9" t="n">
        <f aca="false">INDEX(RAC_LIST,MATCH(I5,SIZE_LIST,0))</f>
        <v>0.691199959253052</v>
      </c>
      <c r="N5" s="9" t="n">
        <f aca="false">INDEX(X_LIST,MATCH(I5,SIZE_LIST,0))</f>
        <v>0.189918360322886</v>
      </c>
      <c r="O5" s="16" t="n">
        <f aca="false">SQRT(3)*G5*L5*(M5*PF_WTG+N5*SQRT(1-PF_WTG^2))/(V_MV*1000)</f>
        <v>0.00148210961186713</v>
      </c>
      <c r="P5" s="9" t="n">
        <f aca="false">3*G5^2*M5*L5/1000</f>
        <v>5.72355958697592</v>
      </c>
      <c r="Q5" s="2"/>
    </row>
    <row r="6" customFormat="false" ht="15" hidden="false" customHeight="false" outlineLevel="0" collapsed="false">
      <c r="A6" s="2" t="s">
        <v>260</v>
      </c>
      <c r="B6" s="2" t="n">
        <v>2</v>
      </c>
      <c r="C6" s="2" t="s">
        <v>262</v>
      </c>
      <c r="D6" s="2" t="n">
        <v>2</v>
      </c>
      <c r="E6" s="9" t="n">
        <f aca="false">D6*P_WTG</f>
        <v>7.6</v>
      </c>
      <c r="F6" s="9" t="n">
        <f aca="false">D6*WTG!$C$5</f>
        <v>8</v>
      </c>
      <c r="G6" s="9" t="n">
        <f aca="false">F6*1000000/(SQRT(3)*V_MV*1000)</f>
        <v>133.878323290348</v>
      </c>
      <c r="H6" s="9" t="n">
        <f aca="false">G6/V_MIN</f>
        <v>140.924550831945</v>
      </c>
      <c r="I6" s="2" t="str">
        <f aca="false">INDEX(SIZE_LIST,IFERROR(MATCH(H6-0.0001,AMP_LIST,1),0)+1)</f>
        <v>1/0 AWG</v>
      </c>
      <c r="J6" s="9" t="n">
        <f aca="false">INDEX(AMP_LIST,MATCH(I6,SIZE_LIST,0))</f>
        <v>174.01903777423</v>
      </c>
      <c r="K6" s="15" t="n">
        <f aca="false">H6/J6</f>
        <v>0.809822606965445</v>
      </c>
      <c r="L6" s="9" t="n">
        <f aca="false">L_INT</f>
        <v>0.616</v>
      </c>
      <c r="M6" s="9" t="n">
        <f aca="false">INDEX(RAC_LIST,MATCH(I6,SIZE_LIST,0))</f>
        <v>0.691199959253052</v>
      </c>
      <c r="N6" s="9" t="n">
        <f aca="false">INDEX(X_LIST,MATCH(I6,SIZE_LIST,0))</f>
        <v>0.189918360322886</v>
      </c>
      <c r="O6" s="16" t="n">
        <f aca="false">SQRT(3)*G6*L6*(M6*PF_WTG+N6*SQRT(1-PF_WTG^2))/(V_MV*1000)</f>
        <v>0.00296421922373426</v>
      </c>
      <c r="P6" s="9" t="n">
        <f aca="false">3*G6^2*M6*L6/1000</f>
        <v>22.8942383479037</v>
      </c>
      <c r="Q6" s="2"/>
    </row>
    <row r="7" customFormat="false" ht="15" hidden="false" customHeight="false" outlineLevel="0" collapsed="false">
      <c r="A7" s="2" t="s">
        <v>260</v>
      </c>
      <c r="B7" s="2" t="n">
        <v>3</v>
      </c>
      <c r="C7" s="2" t="s">
        <v>263</v>
      </c>
      <c r="D7" s="2" t="n">
        <v>3</v>
      </c>
      <c r="E7" s="9" t="n">
        <f aca="false">D7*P_WTG</f>
        <v>11.4</v>
      </c>
      <c r="F7" s="9" t="n">
        <f aca="false">D7*WTG!$C$5</f>
        <v>12</v>
      </c>
      <c r="G7" s="9" t="n">
        <f aca="false">F7*1000000/(SQRT(3)*V_MV*1000)</f>
        <v>200.817484935522</v>
      </c>
      <c r="H7" s="9" t="n">
        <f aca="false">G7/V_MIN</f>
        <v>211.386826247918</v>
      </c>
      <c r="I7" s="2" t="str">
        <f aca="false">INDEX(SIZE_LIST,IFERROR(MATCH(H7-0.0001,AMP_LIST,1),0)+1)</f>
        <v>4/0 AWG</v>
      </c>
      <c r="J7" s="9" t="n">
        <f aca="false">INDEX(AMP_LIST,MATCH(I7,SIZE_LIST,0))</f>
        <v>253.132153376896</v>
      </c>
      <c r="K7" s="15" t="n">
        <f aca="false">H7/J7</f>
        <v>0.835084849664189</v>
      </c>
      <c r="L7" s="9" t="n">
        <f aca="false">L_INT</f>
        <v>0.616</v>
      </c>
      <c r="M7" s="9" t="n">
        <f aca="false">INDEX(RAC_LIST,MATCH(I7,SIZE_LIST,0))</f>
        <v>0.345208158868477</v>
      </c>
      <c r="N7" s="9" t="n">
        <f aca="false">INDEX(X_LIST,MATCH(I7,SIZE_LIST,0))</f>
        <v>0.169954942427806</v>
      </c>
      <c r="O7" s="16" t="n">
        <f aca="false">SQRT(3)*G7*L7*(M7*PF_WTG+N7*SQRT(1-PF_WTG^2))/(V_MV*1000)</f>
        <v>0.00236628564535293</v>
      </c>
      <c r="P7" s="9" t="n">
        <f aca="false">3*G7^2*M7*L7/1000</f>
        <v>25.7268174957105</v>
      </c>
      <c r="Q7" s="2"/>
    </row>
    <row r="8" customFormat="false" ht="15" hidden="false" customHeight="false" outlineLevel="0" collapsed="false">
      <c r="A8" s="2" t="s">
        <v>260</v>
      </c>
      <c r="B8" s="2" t="n">
        <v>4</v>
      </c>
      <c r="C8" s="2" t="s">
        <v>264</v>
      </c>
      <c r="D8" s="2" t="n">
        <v>4</v>
      </c>
      <c r="E8" s="9" t="n">
        <f aca="false">D8*P_WTG</f>
        <v>15.2</v>
      </c>
      <c r="F8" s="9" t="n">
        <f aca="false">D8*WTG!$C$5</f>
        <v>16</v>
      </c>
      <c r="G8" s="9" t="n">
        <f aca="false">F8*1000000/(SQRT(3)*V_MV*1000)</f>
        <v>267.756646580696</v>
      </c>
      <c r="H8" s="9" t="n">
        <f aca="false">G8/V_MIN</f>
        <v>281.849101663891</v>
      </c>
      <c r="I8" s="2" t="str">
        <f aca="false">INDEX(SIZE_LIST,IFERROR(MATCH(H8-0.0001,AMP_LIST,1),0)+1)</f>
        <v>350 kcmil</v>
      </c>
      <c r="J8" s="9" t="n">
        <f aca="false">INDEX(AMP_LIST,MATCH(I8,SIZE_LIST,0))</f>
        <v>331.698002282653</v>
      </c>
      <c r="K8" s="15" t="n">
        <f aca="false">H8/J8</f>
        <v>0.849716005897785</v>
      </c>
      <c r="L8" s="9" t="n">
        <f aca="false">L_INT</f>
        <v>0.616</v>
      </c>
      <c r="M8" s="9" t="n">
        <f aca="false">INDEX(RAC_LIST,MATCH(I8,SIZE_LIST,0))</f>
        <v>0.209204892241179</v>
      </c>
      <c r="N8" s="9" t="n">
        <f aca="false">INDEX(X_LIST,MATCH(I8,SIZE_LIST,0))</f>
        <v>0.156169896189904</v>
      </c>
      <c r="O8" s="16" t="n">
        <f aca="false">SQRT(3)*G8*L8*(M8*PF_WTG+N8*SQRT(1-PF_WTG^2))/(V_MV*1000)</f>
        <v>0.00204952368882923</v>
      </c>
      <c r="P8" s="9" t="n">
        <f aca="false">3*G8^2*M8*L8/1000</f>
        <v>27.717517065209</v>
      </c>
      <c r="Q8" s="2"/>
    </row>
    <row r="9" customFormat="false" ht="15" hidden="false" customHeight="false" outlineLevel="0" collapsed="false">
      <c r="A9" s="2" t="s">
        <v>260</v>
      </c>
      <c r="B9" s="2" t="n">
        <v>5</v>
      </c>
      <c r="C9" s="2" t="s">
        <v>265</v>
      </c>
      <c r="D9" s="2" t="n">
        <v>5</v>
      </c>
      <c r="E9" s="9" t="n">
        <f aca="false">D9*P_WTG</f>
        <v>19</v>
      </c>
      <c r="F9" s="9" t="n">
        <f aca="false">D9*WTG!$C$5</f>
        <v>20</v>
      </c>
      <c r="G9" s="9" t="n">
        <f aca="false">F9*1000000/(SQRT(3)*V_MV*1000)</f>
        <v>334.69580822587</v>
      </c>
      <c r="H9" s="9" t="n">
        <f aca="false">G9/V_MIN</f>
        <v>352.311377079863</v>
      </c>
      <c r="I9" s="2" t="str">
        <f aca="false">INDEX(SIZE_LIST,IFERROR(MATCH(H9-0.0001,AMP_LIST,1),0)+1)</f>
        <v>500 kcmil</v>
      </c>
      <c r="J9" s="9" t="n">
        <f aca="false">INDEX(AMP_LIST,MATCH(I9,SIZE_LIST,0))</f>
        <v>400.71111057974</v>
      </c>
      <c r="K9" s="15" t="n">
        <f aca="false">H9/J9</f>
        <v>0.879215394277804</v>
      </c>
      <c r="L9" s="9" t="n">
        <f aca="false">L_INT</f>
        <v>0.616</v>
      </c>
      <c r="M9" s="9" t="n">
        <f aca="false">INDEX(RAC_LIST,MATCH(I9,SIZE_LIST,0))</f>
        <v>0.146971088524473</v>
      </c>
      <c r="N9" s="9" t="n">
        <f aca="false">INDEX(X_LIST,MATCH(I9,SIZE_LIST,0))</f>
        <v>0.14738240924399</v>
      </c>
      <c r="O9" s="16" t="n">
        <f aca="false">SQRT(3)*G9*L9*(M9*PF_WTG+N9*SQRT(1-PF_WTG^2))/(V_MV*1000)</f>
        <v>0.0019215440253214</v>
      </c>
      <c r="P9" s="9" t="n">
        <f aca="false">3*G9^2*M9*L9/1000</f>
        <v>30.4252688195171</v>
      </c>
      <c r="Q9" s="2"/>
    </row>
    <row r="10" customFormat="false" ht="15" hidden="false" customHeight="false" outlineLevel="0" collapsed="false">
      <c r="A10" s="2" t="s">
        <v>260</v>
      </c>
      <c r="B10" s="2" t="n">
        <v>6</v>
      </c>
      <c r="C10" s="2" t="s">
        <v>266</v>
      </c>
      <c r="D10" s="2" t="n">
        <v>6</v>
      </c>
      <c r="E10" s="9" t="n">
        <f aca="false">D10*P_WTG</f>
        <v>22.8</v>
      </c>
      <c r="F10" s="9" t="n">
        <f aca="false">D10*WTG!$C$5</f>
        <v>24</v>
      </c>
      <c r="G10" s="9" t="n">
        <f aca="false">F10*1000000/(SQRT(3)*V_MV*1000)</f>
        <v>401.634969871044</v>
      </c>
      <c r="H10" s="9" t="n">
        <f aca="false">G10/V_MIN</f>
        <v>422.773652495836</v>
      </c>
      <c r="I10" s="2" t="str">
        <f aca="false">INDEX(SIZE_LIST,IFERROR(MATCH(H10-0.0001,AMP_LIST,1),0)+1)</f>
        <v>750 kcmil</v>
      </c>
      <c r="J10" s="9" t="n">
        <f aca="false">INDEX(AMP_LIST,MATCH(I10,SIZE_LIST,0))</f>
        <v>494.760378235193</v>
      </c>
      <c r="K10" s="15" t="n">
        <f aca="false">H10/J10</f>
        <v>0.854501837846972</v>
      </c>
      <c r="L10" s="9" t="n">
        <f aca="false">L_INT</f>
        <v>0.616</v>
      </c>
      <c r="M10" s="9" t="n">
        <f aca="false">INDEX(RAC_LIST,MATCH(I10,SIZE_LIST,0))</f>
        <v>0.0990431491587756</v>
      </c>
      <c r="N10" s="9" t="n">
        <f aca="false">INDEX(X_LIST,MATCH(I10,SIZE_LIST,0))</f>
        <v>0.137693218978132</v>
      </c>
      <c r="O10" s="16" t="n">
        <f aca="false">SQRT(3)*G10*L10*(M10*PF_WTG+N10*SQRT(1-PF_WTG^2))/(V_MV*1000)</f>
        <v>0.0017027303298619</v>
      </c>
      <c r="P10" s="9" t="n">
        <f aca="false">3*G10^2*M10*L10/1000</f>
        <v>29.5249687140686</v>
      </c>
      <c r="Q10" s="2"/>
    </row>
    <row r="11" customFormat="false" ht="15" hidden="false" customHeight="false" outlineLevel="0" collapsed="false">
      <c r="A11" s="2" t="s">
        <v>260</v>
      </c>
      <c r="B11" s="2" t="n">
        <v>7</v>
      </c>
      <c r="C11" s="2" t="s">
        <v>267</v>
      </c>
      <c r="D11" s="2" t="n">
        <v>7</v>
      </c>
      <c r="E11" s="9" t="n">
        <f aca="false">D11*P_WTG</f>
        <v>26.6</v>
      </c>
      <c r="F11" s="9" t="n">
        <f aca="false">D11*WTG!$C$5</f>
        <v>28</v>
      </c>
      <c r="G11" s="9" t="n">
        <f aca="false">F11*1000000/(SQRT(3)*V_MV*1000)</f>
        <v>468.574131516218</v>
      </c>
      <c r="H11" s="9" t="n">
        <f aca="false">G11/V_MIN</f>
        <v>493.235927911809</v>
      </c>
      <c r="I11" s="2" t="str">
        <f aca="false">INDEX(SIZE_LIST,IFERROR(MATCH(H11-0.0001,GRP_AMP,1),0)+1)</f>
        <v>1000 kcmil</v>
      </c>
      <c r="J11" s="9" t="n">
        <f aca="false">INDEX(GRP_AMP,MATCH(I11,SIZE_LIST,0))</f>
        <v>524.03581298967</v>
      </c>
      <c r="K11" s="15" t="n">
        <f aca="false">H11/J11</f>
        <v>0.941225610322041</v>
      </c>
      <c r="L11" s="9" t="n">
        <f aca="false">L_HR</f>
        <v>5</v>
      </c>
      <c r="M11" s="9" t="n">
        <f aca="false">INDEX(RAC_LIST,MATCH(I11,SIZE_LIST,0))</f>
        <v>0.0754249189674024</v>
      </c>
      <c r="N11" s="9" t="n">
        <f aca="false">INDEX(X_LIST,MATCH(I11,SIZE_LIST,0))</f>
        <v>0.131070040406105</v>
      </c>
      <c r="O11" s="16" t="n">
        <f aca="false">SQRT(3)*G11*L11*(M11*PF_WTG+N11*SQRT(1-PF_WTG^2))/(V_MV*1000)</f>
        <v>0.013241956901968</v>
      </c>
      <c r="P11" s="9" t="n">
        <f aca="false">3*G11^2*M11*L11/1000</f>
        <v>248.406370386236</v>
      </c>
      <c r="Q11" s="2"/>
    </row>
    <row r="12" customFormat="false" ht="15" hidden="false" customHeight="false" outlineLevel="0" collapsed="false">
      <c r="A12" s="14" t="s">
        <v>268</v>
      </c>
      <c r="B12" s="2"/>
      <c r="C12" s="2"/>
      <c r="D12" s="2"/>
      <c r="E12" s="9" t="n">
        <f aca="false">MAX(E5:E11)</f>
        <v>26.6</v>
      </c>
      <c r="F12" s="2"/>
      <c r="G12" s="9" t="n">
        <f aca="false">MAX(G5:G11)</f>
        <v>468.574131516218</v>
      </c>
      <c r="H12" s="9" t="n">
        <f aca="false">MAX(H5:H11)</f>
        <v>493.235927911809</v>
      </c>
      <c r="I12" s="2"/>
      <c r="J12" s="2"/>
      <c r="K12" s="2"/>
      <c r="L12" s="2"/>
      <c r="M12" s="2"/>
      <c r="N12" s="2"/>
      <c r="O12" s="16" t="n">
        <f aca="false">SUM(O5:O11)</f>
        <v>0.0257283694269348</v>
      </c>
      <c r="P12" s="9" t="n">
        <f aca="false">SUM(P5:P11)</f>
        <v>390.418740415621</v>
      </c>
      <c r="Q12" s="16" t="n">
        <f aca="false">P12/1000/E12</f>
        <v>0.0146773962562264</v>
      </c>
    </row>
    <row r="13" customFormat="false" ht="15" hidden="false" customHeight="false" outlineLevel="0" collapsed="false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</row>
    <row r="14" customFormat="false" ht="15" hidden="false" customHeight="false" outlineLevel="0" collapsed="false">
      <c r="A14" s="2" t="s">
        <v>269</v>
      </c>
      <c r="B14" s="2" t="n">
        <v>1</v>
      </c>
      <c r="C14" s="2" t="s">
        <v>270</v>
      </c>
      <c r="D14" s="2" t="n">
        <v>1</v>
      </c>
      <c r="E14" s="9" t="n">
        <f aca="false">D14*P_WTG</f>
        <v>3.8</v>
      </c>
      <c r="F14" s="9" t="n">
        <f aca="false">D14*WTG!$C$5</f>
        <v>4</v>
      </c>
      <c r="G14" s="9" t="n">
        <f aca="false">F14*1000000/(SQRT(3)*V_MV*1000)</f>
        <v>66.939161645174</v>
      </c>
      <c r="H14" s="9" t="n">
        <f aca="false">G14/V_MIN</f>
        <v>70.4622754159726</v>
      </c>
      <c r="I14" s="2" t="str">
        <f aca="false">INDEX(SIZE_LIST,IFERROR(MATCH(H14-0.0001,AMP_LIST,1),0)+1)</f>
        <v>1/0 AWG</v>
      </c>
      <c r="J14" s="9" t="n">
        <f aca="false">INDEX(AMP_LIST,MATCH(I14,SIZE_LIST,0))</f>
        <v>174.01903777423</v>
      </c>
      <c r="K14" s="15" t="n">
        <f aca="false">H14/J14</f>
        <v>0.404911303482722</v>
      </c>
      <c r="L14" s="9" t="n">
        <f aca="false">L_INT</f>
        <v>0.616</v>
      </c>
      <c r="M14" s="9" t="n">
        <f aca="false">INDEX(RAC_LIST,MATCH(I14,SIZE_LIST,0))</f>
        <v>0.691199959253052</v>
      </c>
      <c r="N14" s="9" t="n">
        <f aca="false">INDEX(X_LIST,MATCH(I14,SIZE_LIST,0))</f>
        <v>0.189918360322886</v>
      </c>
      <c r="O14" s="16" t="n">
        <f aca="false">SQRT(3)*G14*L14*(M14*PF_WTG+N14*SQRT(1-PF_WTG^2))/(V_MV*1000)</f>
        <v>0.00148210961186713</v>
      </c>
      <c r="P14" s="9" t="n">
        <f aca="false">3*G14^2*M14*L14/1000</f>
        <v>5.72355958697592</v>
      </c>
      <c r="Q14" s="2"/>
    </row>
    <row r="15" customFormat="false" ht="15" hidden="false" customHeight="false" outlineLevel="0" collapsed="false">
      <c r="A15" s="2" t="s">
        <v>269</v>
      </c>
      <c r="B15" s="2" t="n">
        <v>2</v>
      </c>
      <c r="C15" s="2" t="s">
        <v>271</v>
      </c>
      <c r="D15" s="2" t="n">
        <v>2</v>
      </c>
      <c r="E15" s="9" t="n">
        <f aca="false">D15*P_WTG</f>
        <v>7.6</v>
      </c>
      <c r="F15" s="9" t="n">
        <f aca="false">D15*WTG!$C$5</f>
        <v>8</v>
      </c>
      <c r="G15" s="9" t="n">
        <f aca="false">F15*1000000/(SQRT(3)*V_MV*1000)</f>
        <v>133.878323290348</v>
      </c>
      <c r="H15" s="9" t="n">
        <f aca="false">G15/V_MIN</f>
        <v>140.924550831945</v>
      </c>
      <c r="I15" s="2" t="str">
        <f aca="false">INDEX(SIZE_LIST,IFERROR(MATCH(H15-0.0001,AMP_LIST,1),0)+1)</f>
        <v>1/0 AWG</v>
      </c>
      <c r="J15" s="9" t="n">
        <f aca="false">INDEX(AMP_LIST,MATCH(I15,SIZE_LIST,0))</f>
        <v>174.01903777423</v>
      </c>
      <c r="K15" s="15" t="n">
        <f aca="false">H15/J15</f>
        <v>0.809822606965445</v>
      </c>
      <c r="L15" s="9" t="n">
        <f aca="false">L_INT</f>
        <v>0.616</v>
      </c>
      <c r="M15" s="9" t="n">
        <f aca="false">INDEX(RAC_LIST,MATCH(I15,SIZE_LIST,0))</f>
        <v>0.691199959253052</v>
      </c>
      <c r="N15" s="9" t="n">
        <f aca="false">INDEX(X_LIST,MATCH(I15,SIZE_LIST,0))</f>
        <v>0.189918360322886</v>
      </c>
      <c r="O15" s="16" t="n">
        <f aca="false">SQRT(3)*G15*L15*(M15*PF_WTG+N15*SQRT(1-PF_WTG^2))/(V_MV*1000)</f>
        <v>0.00296421922373426</v>
      </c>
      <c r="P15" s="9" t="n">
        <f aca="false">3*G15^2*M15*L15/1000</f>
        <v>22.8942383479037</v>
      </c>
      <c r="Q15" s="2"/>
    </row>
    <row r="16" customFormat="false" ht="15" hidden="false" customHeight="false" outlineLevel="0" collapsed="false">
      <c r="A16" s="2" t="s">
        <v>269</v>
      </c>
      <c r="B16" s="2" t="n">
        <v>3</v>
      </c>
      <c r="C16" s="2" t="s">
        <v>272</v>
      </c>
      <c r="D16" s="2" t="n">
        <v>3</v>
      </c>
      <c r="E16" s="9" t="n">
        <f aca="false">D16*P_WTG</f>
        <v>11.4</v>
      </c>
      <c r="F16" s="9" t="n">
        <f aca="false">D16*WTG!$C$5</f>
        <v>12</v>
      </c>
      <c r="G16" s="9" t="n">
        <f aca="false">F16*1000000/(SQRT(3)*V_MV*1000)</f>
        <v>200.817484935522</v>
      </c>
      <c r="H16" s="9" t="n">
        <f aca="false">G16/V_MIN</f>
        <v>211.386826247918</v>
      </c>
      <c r="I16" s="2" t="str">
        <f aca="false">INDEX(SIZE_LIST,IFERROR(MATCH(H16-0.0001,AMP_LIST,1),0)+1)</f>
        <v>4/0 AWG</v>
      </c>
      <c r="J16" s="9" t="n">
        <f aca="false">INDEX(AMP_LIST,MATCH(I16,SIZE_LIST,0))</f>
        <v>253.132153376896</v>
      </c>
      <c r="K16" s="15" t="n">
        <f aca="false">H16/J16</f>
        <v>0.835084849664189</v>
      </c>
      <c r="L16" s="9" t="n">
        <f aca="false">L_INT</f>
        <v>0.616</v>
      </c>
      <c r="M16" s="9" t="n">
        <f aca="false">INDEX(RAC_LIST,MATCH(I16,SIZE_LIST,0))</f>
        <v>0.345208158868477</v>
      </c>
      <c r="N16" s="9" t="n">
        <f aca="false">INDEX(X_LIST,MATCH(I16,SIZE_LIST,0))</f>
        <v>0.169954942427806</v>
      </c>
      <c r="O16" s="16" t="n">
        <f aca="false">SQRT(3)*G16*L16*(M16*PF_WTG+N16*SQRT(1-PF_WTG^2))/(V_MV*1000)</f>
        <v>0.00236628564535293</v>
      </c>
      <c r="P16" s="9" t="n">
        <f aca="false">3*G16^2*M16*L16/1000</f>
        <v>25.7268174957105</v>
      </c>
      <c r="Q16" s="2"/>
    </row>
    <row r="17" customFormat="false" ht="15" hidden="false" customHeight="false" outlineLevel="0" collapsed="false">
      <c r="A17" s="2" t="s">
        <v>269</v>
      </c>
      <c r="B17" s="2" t="n">
        <v>4</v>
      </c>
      <c r="C17" s="2" t="s">
        <v>273</v>
      </c>
      <c r="D17" s="2" t="n">
        <v>4</v>
      </c>
      <c r="E17" s="9" t="n">
        <f aca="false">D17*P_WTG</f>
        <v>15.2</v>
      </c>
      <c r="F17" s="9" t="n">
        <f aca="false">D17*WTG!$C$5</f>
        <v>16</v>
      </c>
      <c r="G17" s="9" t="n">
        <f aca="false">F17*1000000/(SQRT(3)*V_MV*1000)</f>
        <v>267.756646580696</v>
      </c>
      <c r="H17" s="9" t="n">
        <f aca="false">G17/V_MIN</f>
        <v>281.849101663891</v>
      </c>
      <c r="I17" s="2" t="str">
        <f aca="false">INDEX(SIZE_LIST,IFERROR(MATCH(H17-0.0001,AMP_LIST,1),0)+1)</f>
        <v>350 kcmil</v>
      </c>
      <c r="J17" s="9" t="n">
        <f aca="false">INDEX(AMP_LIST,MATCH(I17,SIZE_LIST,0))</f>
        <v>331.698002282653</v>
      </c>
      <c r="K17" s="15" t="n">
        <f aca="false">H17/J17</f>
        <v>0.849716005897785</v>
      </c>
      <c r="L17" s="9" t="n">
        <f aca="false">L_INT</f>
        <v>0.616</v>
      </c>
      <c r="M17" s="9" t="n">
        <f aca="false">INDEX(RAC_LIST,MATCH(I17,SIZE_LIST,0))</f>
        <v>0.209204892241179</v>
      </c>
      <c r="N17" s="9" t="n">
        <f aca="false">INDEX(X_LIST,MATCH(I17,SIZE_LIST,0))</f>
        <v>0.156169896189904</v>
      </c>
      <c r="O17" s="16" t="n">
        <f aca="false">SQRT(3)*G17*L17*(M17*PF_WTG+N17*SQRT(1-PF_WTG^2))/(V_MV*1000)</f>
        <v>0.00204952368882923</v>
      </c>
      <c r="P17" s="9" t="n">
        <f aca="false">3*G17^2*M17*L17/1000</f>
        <v>27.717517065209</v>
      </c>
      <c r="Q17" s="2"/>
    </row>
    <row r="18" customFormat="false" ht="15" hidden="false" customHeight="false" outlineLevel="0" collapsed="false">
      <c r="A18" s="2" t="s">
        <v>269</v>
      </c>
      <c r="B18" s="2" t="n">
        <v>5</v>
      </c>
      <c r="C18" s="2" t="s">
        <v>274</v>
      </c>
      <c r="D18" s="2" t="n">
        <v>5</v>
      </c>
      <c r="E18" s="9" t="n">
        <f aca="false">D18*P_WTG</f>
        <v>19</v>
      </c>
      <c r="F18" s="9" t="n">
        <f aca="false">D18*WTG!$C$5</f>
        <v>20</v>
      </c>
      <c r="G18" s="9" t="n">
        <f aca="false">F18*1000000/(SQRT(3)*V_MV*1000)</f>
        <v>334.69580822587</v>
      </c>
      <c r="H18" s="9" t="n">
        <f aca="false">G18/V_MIN</f>
        <v>352.311377079863</v>
      </c>
      <c r="I18" s="2" t="str">
        <f aca="false">INDEX(SIZE_LIST,IFERROR(MATCH(H18-0.0001,AMP_LIST,1),0)+1)</f>
        <v>500 kcmil</v>
      </c>
      <c r="J18" s="9" t="n">
        <f aca="false">INDEX(AMP_LIST,MATCH(I18,SIZE_LIST,0))</f>
        <v>400.71111057974</v>
      </c>
      <c r="K18" s="15" t="n">
        <f aca="false">H18/J18</f>
        <v>0.879215394277804</v>
      </c>
      <c r="L18" s="9" t="n">
        <f aca="false">L_INT</f>
        <v>0.616</v>
      </c>
      <c r="M18" s="9" t="n">
        <f aca="false">INDEX(RAC_LIST,MATCH(I18,SIZE_LIST,0))</f>
        <v>0.146971088524473</v>
      </c>
      <c r="N18" s="9" t="n">
        <f aca="false">INDEX(X_LIST,MATCH(I18,SIZE_LIST,0))</f>
        <v>0.14738240924399</v>
      </c>
      <c r="O18" s="16" t="n">
        <f aca="false">SQRT(3)*G18*L18*(M18*PF_WTG+N18*SQRT(1-PF_WTG^2))/(V_MV*1000)</f>
        <v>0.0019215440253214</v>
      </c>
      <c r="P18" s="9" t="n">
        <f aca="false">3*G18^2*M18*L18/1000</f>
        <v>30.4252688195171</v>
      </c>
      <c r="Q18" s="2"/>
    </row>
    <row r="19" customFormat="false" ht="15" hidden="false" customHeight="false" outlineLevel="0" collapsed="false">
      <c r="A19" s="2" t="s">
        <v>269</v>
      </c>
      <c r="B19" s="2" t="n">
        <v>6</v>
      </c>
      <c r="C19" s="2" t="s">
        <v>275</v>
      </c>
      <c r="D19" s="2" t="n">
        <v>6</v>
      </c>
      <c r="E19" s="9" t="n">
        <f aca="false">D19*P_WTG</f>
        <v>22.8</v>
      </c>
      <c r="F19" s="9" t="n">
        <f aca="false">D19*WTG!$C$5</f>
        <v>24</v>
      </c>
      <c r="G19" s="9" t="n">
        <f aca="false">F19*1000000/(SQRT(3)*V_MV*1000)</f>
        <v>401.634969871044</v>
      </c>
      <c r="H19" s="9" t="n">
        <f aca="false">G19/V_MIN</f>
        <v>422.773652495836</v>
      </c>
      <c r="I19" s="2" t="str">
        <f aca="false">INDEX(SIZE_LIST,IFERROR(MATCH(H19-0.0001,AMP_LIST,1),0)+1)</f>
        <v>750 kcmil</v>
      </c>
      <c r="J19" s="9" t="n">
        <f aca="false">INDEX(AMP_LIST,MATCH(I19,SIZE_LIST,0))</f>
        <v>494.760378235193</v>
      </c>
      <c r="K19" s="15" t="n">
        <f aca="false">H19/J19</f>
        <v>0.854501837846972</v>
      </c>
      <c r="L19" s="9" t="n">
        <f aca="false">L_INT</f>
        <v>0.616</v>
      </c>
      <c r="M19" s="9" t="n">
        <f aca="false">INDEX(RAC_LIST,MATCH(I19,SIZE_LIST,0))</f>
        <v>0.0990431491587756</v>
      </c>
      <c r="N19" s="9" t="n">
        <f aca="false">INDEX(X_LIST,MATCH(I19,SIZE_LIST,0))</f>
        <v>0.137693218978132</v>
      </c>
      <c r="O19" s="16" t="n">
        <f aca="false">SQRT(3)*G19*L19*(M19*PF_WTG+N19*SQRT(1-PF_WTG^2))/(V_MV*1000)</f>
        <v>0.0017027303298619</v>
      </c>
      <c r="P19" s="9" t="n">
        <f aca="false">3*G19^2*M19*L19/1000</f>
        <v>29.5249687140686</v>
      </c>
      <c r="Q19" s="2"/>
    </row>
    <row r="20" customFormat="false" ht="15" hidden="false" customHeight="false" outlineLevel="0" collapsed="false">
      <c r="A20" s="2" t="s">
        <v>269</v>
      </c>
      <c r="B20" s="2" t="n">
        <v>7</v>
      </c>
      <c r="C20" s="2" t="s">
        <v>276</v>
      </c>
      <c r="D20" s="2" t="n">
        <v>7</v>
      </c>
      <c r="E20" s="9" t="n">
        <f aca="false">D20*P_WTG</f>
        <v>26.6</v>
      </c>
      <c r="F20" s="9" t="n">
        <f aca="false">D20*WTG!$C$5</f>
        <v>28</v>
      </c>
      <c r="G20" s="9" t="n">
        <f aca="false">F20*1000000/(SQRT(3)*V_MV*1000)</f>
        <v>468.574131516218</v>
      </c>
      <c r="H20" s="9" t="n">
        <f aca="false">G20/V_MIN</f>
        <v>493.235927911809</v>
      </c>
      <c r="I20" s="2" t="str">
        <f aca="false">INDEX(SIZE_LIST,IFERROR(MATCH(H20-0.0001,GRP_AMP,1),0)+1)</f>
        <v>1000 kcmil</v>
      </c>
      <c r="J20" s="9" t="n">
        <f aca="false">INDEX(GRP_AMP,MATCH(I20,SIZE_LIST,0))</f>
        <v>524.03581298967</v>
      </c>
      <c r="K20" s="15" t="n">
        <f aca="false">H20/J20</f>
        <v>0.941225610322041</v>
      </c>
      <c r="L20" s="9" t="n">
        <f aca="false">L_HR</f>
        <v>5</v>
      </c>
      <c r="M20" s="9" t="n">
        <f aca="false">INDEX(RAC_LIST,MATCH(I20,SIZE_LIST,0))</f>
        <v>0.0754249189674024</v>
      </c>
      <c r="N20" s="9" t="n">
        <f aca="false">INDEX(X_LIST,MATCH(I20,SIZE_LIST,0))</f>
        <v>0.131070040406105</v>
      </c>
      <c r="O20" s="16" t="n">
        <f aca="false">SQRT(3)*G20*L20*(M20*PF_WTG+N20*SQRT(1-PF_WTG^2))/(V_MV*1000)</f>
        <v>0.013241956901968</v>
      </c>
      <c r="P20" s="9" t="n">
        <f aca="false">3*G20^2*M20*L20/1000</f>
        <v>248.406370386236</v>
      </c>
      <c r="Q20" s="2"/>
    </row>
    <row r="21" customFormat="false" ht="15" hidden="false" customHeight="false" outlineLevel="0" collapsed="false">
      <c r="A21" s="14" t="s">
        <v>277</v>
      </c>
      <c r="B21" s="2"/>
      <c r="C21" s="2"/>
      <c r="D21" s="2"/>
      <c r="E21" s="9" t="n">
        <f aca="false">MAX(E14:E20)</f>
        <v>26.6</v>
      </c>
      <c r="F21" s="2"/>
      <c r="G21" s="9" t="n">
        <f aca="false">MAX(G14:G20)</f>
        <v>468.574131516218</v>
      </c>
      <c r="H21" s="9" t="n">
        <f aca="false">MAX(H14:H20)</f>
        <v>493.235927911809</v>
      </c>
      <c r="I21" s="2"/>
      <c r="J21" s="2"/>
      <c r="K21" s="2"/>
      <c r="L21" s="2"/>
      <c r="M21" s="2"/>
      <c r="N21" s="2"/>
      <c r="O21" s="16" t="n">
        <f aca="false">SUM(O14:O20)</f>
        <v>0.0257283694269348</v>
      </c>
      <c r="P21" s="9" t="n">
        <f aca="false">SUM(P14:P20)</f>
        <v>390.418740415621</v>
      </c>
      <c r="Q21" s="16" t="n">
        <f aca="false">P21/1000/E21</f>
        <v>0.0146773962562264</v>
      </c>
    </row>
    <row r="22" customFormat="false" ht="15" hidden="false" customHeight="false" outlineLevel="0" collapsed="false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</row>
    <row r="23" customFormat="false" ht="15" hidden="false" customHeight="false" outlineLevel="0" collapsed="false">
      <c r="A23" s="2" t="s">
        <v>278</v>
      </c>
      <c r="B23" s="2" t="n">
        <v>1</v>
      </c>
      <c r="C23" s="2" t="s">
        <v>279</v>
      </c>
      <c r="D23" s="2" t="n">
        <v>1</v>
      </c>
      <c r="E23" s="9" t="n">
        <f aca="false">D23*P_WTG</f>
        <v>3.8</v>
      </c>
      <c r="F23" s="9" t="n">
        <f aca="false">D23*WTG!$C$5</f>
        <v>4</v>
      </c>
      <c r="G23" s="9" t="n">
        <f aca="false">F23*1000000/(SQRT(3)*V_MV*1000)</f>
        <v>66.939161645174</v>
      </c>
      <c r="H23" s="9" t="n">
        <f aca="false">G23/V_MIN</f>
        <v>70.4622754159726</v>
      </c>
      <c r="I23" s="2" t="str">
        <f aca="false">INDEX(SIZE_LIST,IFERROR(MATCH(H23-0.0001,AMP_LIST,1),0)+1)</f>
        <v>1/0 AWG</v>
      </c>
      <c r="J23" s="9" t="n">
        <f aca="false">INDEX(AMP_LIST,MATCH(I23,SIZE_LIST,0))</f>
        <v>174.01903777423</v>
      </c>
      <c r="K23" s="15" t="n">
        <f aca="false">H23/J23</f>
        <v>0.404911303482722</v>
      </c>
      <c r="L23" s="9" t="n">
        <f aca="false">L_INT</f>
        <v>0.616</v>
      </c>
      <c r="M23" s="9" t="n">
        <f aca="false">INDEX(RAC_LIST,MATCH(I23,SIZE_LIST,0))</f>
        <v>0.691199959253052</v>
      </c>
      <c r="N23" s="9" t="n">
        <f aca="false">INDEX(X_LIST,MATCH(I23,SIZE_LIST,0))</f>
        <v>0.189918360322886</v>
      </c>
      <c r="O23" s="16" t="n">
        <f aca="false">SQRT(3)*G23*L23*(M23*PF_WTG+N23*SQRT(1-PF_WTG^2))/(V_MV*1000)</f>
        <v>0.00148210961186713</v>
      </c>
      <c r="P23" s="9" t="n">
        <f aca="false">3*G23^2*M23*L23/1000</f>
        <v>5.72355958697592</v>
      </c>
      <c r="Q23" s="2"/>
    </row>
    <row r="24" customFormat="false" ht="15" hidden="false" customHeight="false" outlineLevel="0" collapsed="false">
      <c r="A24" s="2" t="s">
        <v>278</v>
      </c>
      <c r="B24" s="2" t="n">
        <v>2</v>
      </c>
      <c r="C24" s="2" t="s">
        <v>280</v>
      </c>
      <c r="D24" s="2" t="n">
        <v>2</v>
      </c>
      <c r="E24" s="9" t="n">
        <f aca="false">D24*P_WTG</f>
        <v>7.6</v>
      </c>
      <c r="F24" s="9" t="n">
        <f aca="false">D24*WTG!$C$5</f>
        <v>8</v>
      </c>
      <c r="G24" s="9" t="n">
        <f aca="false">F24*1000000/(SQRT(3)*V_MV*1000)</f>
        <v>133.878323290348</v>
      </c>
      <c r="H24" s="9" t="n">
        <f aca="false">G24/V_MIN</f>
        <v>140.924550831945</v>
      </c>
      <c r="I24" s="2" t="str">
        <f aca="false">INDEX(SIZE_LIST,IFERROR(MATCH(H24-0.0001,AMP_LIST,1),0)+1)</f>
        <v>1/0 AWG</v>
      </c>
      <c r="J24" s="9" t="n">
        <f aca="false">INDEX(AMP_LIST,MATCH(I24,SIZE_LIST,0))</f>
        <v>174.01903777423</v>
      </c>
      <c r="K24" s="15" t="n">
        <f aca="false">H24/J24</f>
        <v>0.809822606965445</v>
      </c>
      <c r="L24" s="9" t="n">
        <f aca="false">L_INT</f>
        <v>0.616</v>
      </c>
      <c r="M24" s="9" t="n">
        <f aca="false">INDEX(RAC_LIST,MATCH(I24,SIZE_LIST,0))</f>
        <v>0.691199959253052</v>
      </c>
      <c r="N24" s="9" t="n">
        <f aca="false">INDEX(X_LIST,MATCH(I24,SIZE_LIST,0))</f>
        <v>0.189918360322886</v>
      </c>
      <c r="O24" s="16" t="n">
        <f aca="false">SQRT(3)*G24*L24*(M24*PF_WTG+N24*SQRT(1-PF_WTG^2))/(V_MV*1000)</f>
        <v>0.00296421922373426</v>
      </c>
      <c r="P24" s="9" t="n">
        <f aca="false">3*G24^2*M24*L24/1000</f>
        <v>22.8942383479037</v>
      </c>
      <c r="Q24" s="2"/>
    </row>
    <row r="25" customFormat="false" ht="15" hidden="false" customHeight="false" outlineLevel="0" collapsed="false">
      <c r="A25" s="2" t="s">
        <v>278</v>
      </c>
      <c r="B25" s="2" t="n">
        <v>3</v>
      </c>
      <c r="C25" s="2" t="s">
        <v>281</v>
      </c>
      <c r="D25" s="2" t="n">
        <v>3</v>
      </c>
      <c r="E25" s="9" t="n">
        <f aca="false">D25*P_WTG</f>
        <v>11.4</v>
      </c>
      <c r="F25" s="9" t="n">
        <f aca="false">D25*WTG!$C$5</f>
        <v>12</v>
      </c>
      <c r="G25" s="9" t="n">
        <f aca="false">F25*1000000/(SQRT(3)*V_MV*1000)</f>
        <v>200.817484935522</v>
      </c>
      <c r="H25" s="9" t="n">
        <f aca="false">G25/V_MIN</f>
        <v>211.386826247918</v>
      </c>
      <c r="I25" s="2" t="str">
        <f aca="false">INDEX(SIZE_LIST,IFERROR(MATCH(H25-0.0001,AMP_LIST,1),0)+1)</f>
        <v>4/0 AWG</v>
      </c>
      <c r="J25" s="9" t="n">
        <f aca="false">INDEX(AMP_LIST,MATCH(I25,SIZE_LIST,0))</f>
        <v>253.132153376896</v>
      </c>
      <c r="K25" s="15" t="n">
        <f aca="false">H25/J25</f>
        <v>0.835084849664189</v>
      </c>
      <c r="L25" s="9" t="n">
        <f aca="false">L_INT</f>
        <v>0.616</v>
      </c>
      <c r="M25" s="9" t="n">
        <f aca="false">INDEX(RAC_LIST,MATCH(I25,SIZE_LIST,0))</f>
        <v>0.345208158868477</v>
      </c>
      <c r="N25" s="9" t="n">
        <f aca="false">INDEX(X_LIST,MATCH(I25,SIZE_LIST,0))</f>
        <v>0.169954942427806</v>
      </c>
      <c r="O25" s="16" t="n">
        <f aca="false">SQRT(3)*G25*L25*(M25*PF_WTG+N25*SQRT(1-PF_WTG^2))/(V_MV*1000)</f>
        <v>0.00236628564535293</v>
      </c>
      <c r="P25" s="9" t="n">
        <f aca="false">3*G25^2*M25*L25/1000</f>
        <v>25.7268174957105</v>
      </c>
      <c r="Q25" s="2"/>
    </row>
    <row r="26" customFormat="false" ht="15" hidden="false" customHeight="false" outlineLevel="0" collapsed="false">
      <c r="A26" s="2" t="s">
        <v>278</v>
      </c>
      <c r="B26" s="2" t="n">
        <v>4</v>
      </c>
      <c r="C26" s="2" t="s">
        <v>282</v>
      </c>
      <c r="D26" s="2" t="n">
        <v>4</v>
      </c>
      <c r="E26" s="9" t="n">
        <f aca="false">D26*P_WTG</f>
        <v>15.2</v>
      </c>
      <c r="F26" s="9" t="n">
        <f aca="false">D26*WTG!$C$5</f>
        <v>16</v>
      </c>
      <c r="G26" s="9" t="n">
        <f aca="false">F26*1000000/(SQRT(3)*V_MV*1000)</f>
        <v>267.756646580696</v>
      </c>
      <c r="H26" s="9" t="n">
        <f aca="false">G26/V_MIN</f>
        <v>281.849101663891</v>
      </c>
      <c r="I26" s="2" t="str">
        <f aca="false">INDEX(SIZE_LIST,IFERROR(MATCH(H26-0.0001,AMP_LIST,1),0)+1)</f>
        <v>350 kcmil</v>
      </c>
      <c r="J26" s="9" t="n">
        <f aca="false">INDEX(AMP_LIST,MATCH(I26,SIZE_LIST,0))</f>
        <v>331.698002282653</v>
      </c>
      <c r="K26" s="15" t="n">
        <f aca="false">H26/J26</f>
        <v>0.849716005897785</v>
      </c>
      <c r="L26" s="9" t="n">
        <f aca="false">L_INT</f>
        <v>0.616</v>
      </c>
      <c r="M26" s="9" t="n">
        <f aca="false">INDEX(RAC_LIST,MATCH(I26,SIZE_LIST,0))</f>
        <v>0.209204892241179</v>
      </c>
      <c r="N26" s="9" t="n">
        <f aca="false">INDEX(X_LIST,MATCH(I26,SIZE_LIST,0))</f>
        <v>0.156169896189904</v>
      </c>
      <c r="O26" s="16" t="n">
        <f aca="false">SQRT(3)*G26*L26*(M26*PF_WTG+N26*SQRT(1-PF_WTG^2))/(V_MV*1000)</f>
        <v>0.00204952368882923</v>
      </c>
      <c r="P26" s="9" t="n">
        <f aca="false">3*G26^2*M26*L26/1000</f>
        <v>27.717517065209</v>
      </c>
      <c r="Q26" s="2"/>
    </row>
    <row r="27" customFormat="false" ht="15" hidden="false" customHeight="false" outlineLevel="0" collapsed="false">
      <c r="A27" s="2" t="s">
        <v>278</v>
      </c>
      <c r="B27" s="2" t="n">
        <v>5</v>
      </c>
      <c r="C27" s="2" t="s">
        <v>283</v>
      </c>
      <c r="D27" s="2" t="n">
        <v>5</v>
      </c>
      <c r="E27" s="9" t="n">
        <f aca="false">D27*P_WTG</f>
        <v>19</v>
      </c>
      <c r="F27" s="9" t="n">
        <f aca="false">D27*WTG!$C$5</f>
        <v>20</v>
      </c>
      <c r="G27" s="9" t="n">
        <f aca="false">F27*1000000/(SQRT(3)*V_MV*1000)</f>
        <v>334.69580822587</v>
      </c>
      <c r="H27" s="9" t="n">
        <f aca="false">G27/V_MIN</f>
        <v>352.311377079863</v>
      </c>
      <c r="I27" s="2" t="str">
        <f aca="false">INDEX(SIZE_LIST,IFERROR(MATCH(H27-0.0001,AMP_LIST,1),0)+1)</f>
        <v>500 kcmil</v>
      </c>
      <c r="J27" s="9" t="n">
        <f aca="false">INDEX(AMP_LIST,MATCH(I27,SIZE_LIST,0))</f>
        <v>400.71111057974</v>
      </c>
      <c r="K27" s="15" t="n">
        <f aca="false">H27/J27</f>
        <v>0.879215394277804</v>
      </c>
      <c r="L27" s="9" t="n">
        <f aca="false">L_INT</f>
        <v>0.616</v>
      </c>
      <c r="M27" s="9" t="n">
        <f aca="false">INDEX(RAC_LIST,MATCH(I27,SIZE_LIST,0))</f>
        <v>0.146971088524473</v>
      </c>
      <c r="N27" s="9" t="n">
        <f aca="false">INDEX(X_LIST,MATCH(I27,SIZE_LIST,0))</f>
        <v>0.14738240924399</v>
      </c>
      <c r="O27" s="16" t="n">
        <f aca="false">SQRT(3)*G27*L27*(M27*PF_WTG+N27*SQRT(1-PF_WTG^2))/(V_MV*1000)</f>
        <v>0.0019215440253214</v>
      </c>
      <c r="P27" s="9" t="n">
        <f aca="false">3*G27^2*M27*L27/1000</f>
        <v>30.4252688195171</v>
      </c>
      <c r="Q27" s="2"/>
    </row>
    <row r="28" customFormat="false" ht="15" hidden="false" customHeight="false" outlineLevel="0" collapsed="false">
      <c r="A28" s="2" t="s">
        <v>278</v>
      </c>
      <c r="B28" s="2" t="n">
        <v>6</v>
      </c>
      <c r="C28" s="2" t="s">
        <v>284</v>
      </c>
      <c r="D28" s="2" t="n">
        <v>6</v>
      </c>
      <c r="E28" s="9" t="n">
        <f aca="false">D28*P_WTG</f>
        <v>22.8</v>
      </c>
      <c r="F28" s="9" t="n">
        <f aca="false">D28*WTG!$C$5</f>
        <v>24</v>
      </c>
      <c r="G28" s="9" t="n">
        <f aca="false">F28*1000000/(SQRT(3)*V_MV*1000)</f>
        <v>401.634969871044</v>
      </c>
      <c r="H28" s="9" t="n">
        <f aca="false">G28/V_MIN</f>
        <v>422.773652495836</v>
      </c>
      <c r="I28" s="2" t="str">
        <f aca="false">INDEX(SIZE_LIST,IFERROR(MATCH(H28-0.0001,AMP_LIST,1),0)+1)</f>
        <v>750 kcmil</v>
      </c>
      <c r="J28" s="9" t="n">
        <f aca="false">INDEX(AMP_LIST,MATCH(I28,SIZE_LIST,0))</f>
        <v>494.760378235193</v>
      </c>
      <c r="K28" s="15" t="n">
        <f aca="false">H28/J28</f>
        <v>0.854501837846972</v>
      </c>
      <c r="L28" s="9" t="n">
        <f aca="false">L_INT</f>
        <v>0.616</v>
      </c>
      <c r="M28" s="9" t="n">
        <f aca="false">INDEX(RAC_LIST,MATCH(I28,SIZE_LIST,0))</f>
        <v>0.0990431491587756</v>
      </c>
      <c r="N28" s="9" t="n">
        <f aca="false">INDEX(X_LIST,MATCH(I28,SIZE_LIST,0))</f>
        <v>0.137693218978132</v>
      </c>
      <c r="O28" s="16" t="n">
        <f aca="false">SQRT(3)*G28*L28*(M28*PF_WTG+N28*SQRT(1-PF_WTG^2))/(V_MV*1000)</f>
        <v>0.0017027303298619</v>
      </c>
      <c r="P28" s="9" t="n">
        <f aca="false">3*G28^2*M28*L28/1000</f>
        <v>29.5249687140686</v>
      </c>
      <c r="Q28" s="2"/>
    </row>
    <row r="29" customFormat="false" ht="15" hidden="false" customHeight="false" outlineLevel="0" collapsed="false">
      <c r="A29" s="2" t="s">
        <v>278</v>
      </c>
      <c r="B29" s="2" t="n">
        <v>7</v>
      </c>
      <c r="C29" s="2" t="s">
        <v>285</v>
      </c>
      <c r="D29" s="2" t="n">
        <v>7</v>
      </c>
      <c r="E29" s="9" t="n">
        <f aca="false">D29*P_WTG</f>
        <v>26.6</v>
      </c>
      <c r="F29" s="9" t="n">
        <f aca="false">D29*WTG!$C$5</f>
        <v>28</v>
      </c>
      <c r="G29" s="9" t="n">
        <f aca="false">F29*1000000/(SQRT(3)*V_MV*1000)</f>
        <v>468.574131516218</v>
      </c>
      <c r="H29" s="9" t="n">
        <f aca="false">G29/V_MIN</f>
        <v>493.235927911809</v>
      </c>
      <c r="I29" s="2" t="str">
        <f aca="false">INDEX(SIZE_LIST,IFERROR(MATCH(H29-0.0001,GRP_AMP,1),0)+1)</f>
        <v>1000 kcmil</v>
      </c>
      <c r="J29" s="9" t="n">
        <f aca="false">INDEX(GRP_AMP,MATCH(I29,SIZE_LIST,0))</f>
        <v>524.03581298967</v>
      </c>
      <c r="K29" s="15" t="n">
        <f aca="false">H29/J29</f>
        <v>0.941225610322041</v>
      </c>
      <c r="L29" s="9" t="n">
        <f aca="false">L_HR</f>
        <v>5</v>
      </c>
      <c r="M29" s="9" t="n">
        <f aca="false">INDEX(RAC_LIST,MATCH(I29,SIZE_LIST,0))</f>
        <v>0.0754249189674024</v>
      </c>
      <c r="N29" s="9" t="n">
        <f aca="false">INDEX(X_LIST,MATCH(I29,SIZE_LIST,0))</f>
        <v>0.131070040406105</v>
      </c>
      <c r="O29" s="16" t="n">
        <f aca="false">SQRT(3)*G29*L29*(M29*PF_WTG+N29*SQRT(1-PF_WTG^2))/(V_MV*1000)</f>
        <v>0.013241956901968</v>
      </c>
      <c r="P29" s="9" t="n">
        <f aca="false">3*G29^2*M29*L29/1000</f>
        <v>248.406370386236</v>
      </c>
      <c r="Q29" s="2"/>
    </row>
    <row r="30" customFormat="false" ht="15" hidden="false" customHeight="false" outlineLevel="0" collapsed="false">
      <c r="A30" s="14" t="s">
        <v>286</v>
      </c>
      <c r="B30" s="2"/>
      <c r="C30" s="2"/>
      <c r="D30" s="2"/>
      <c r="E30" s="9" t="n">
        <f aca="false">MAX(E23:E29)</f>
        <v>26.6</v>
      </c>
      <c r="F30" s="2"/>
      <c r="G30" s="9" t="n">
        <f aca="false">MAX(G23:G29)</f>
        <v>468.574131516218</v>
      </c>
      <c r="H30" s="9" t="n">
        <f aca="false">MAX(H23:H29)</f>
        <v>493.235927911809</v>
      </c>
      <c r="I30" s="2"/>
      <c r="J30" s="2"/>
      <c r="K30" s="2"/>
      <c r="L30" s="2"/>
      <c r="M30" s="2"/>
      <c r="N30" s="2"/>
      <c r="O30" s="16" t="n">
        <f aca="false">SUM(O23:O29)</f>
        <v>0.0257283694269348</v>
      </c>
      <c r="P30" s="9" t="n">
        <f aca="false">SUM(P23:P29)</f>
        <v>390.418740415621</v>
      </c>
      <c r="Q30" s="16" t="n">
        <f aca="false">P30/1000/E30</f>
        <v>0.0146773962562264</v>
      </c>
    </row>
    <row r="31" customFormat="false" ht="15" hidden="false" customHeight="false" outlineLevel="0" collapsed="false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</row>
    <row r="32" customFormat="false" ht="15" hidden="false" customHeight="false" outlineLevel="0" collapsed="false">
      <c r="A32" s="2" t="s">
        <v>287</v>
      </c>
      <c r="B32" s="2" t="n">
        <v>1</v>
      </c>
      <c r="C32" s="2" t="s">
        <v>288</v>
      </c>
      <c r="D32" s="2" t="n">
        <v>1</v>
      </c>
      <c r="E32" s="9" t="n">
        <f aca="false">D32*P_WTG</f>
        <v>3.8</v>
      </c>
      <c r="F32" s="9" t="n">
        <f aca="false">D32*WTG!$C$5</f>
        <v>4</v>
      </c>
      <c r="G32" s="9" t="n">
        <f aca="false">F32*1000000/(SQRT(3)*V_MV*1000)</f>
        <v>66.939161645174</v>
      </c>
      <c r="H32" s="9" t="n">
        <f aca="false">G32/V_MIN</f>
        <v>70.4622754159726</v>
      </c>
      <c r="I32" s="2" t="str">
        <f aca="false">INDEX(SIZE_LIST,IFERROR(MATCH(H32-0.0001,AMP_LIST,1),0)+1)</f>
        <v>1/0 AWG</v>
      </c>
      <c r="J32" s="9" t="n">
        <f aca="false">INDEX(AMP_LIST,MATCH(I32,SIZE_LIST,0))</f>
        <v>174.01903777423</v>
      </c>
      <c r="K32" s="15" t="n">
        <f aca="false">H32/J32</f>
        <v>0.404911303482722</v>
      </c>
      <c r="L32" s="9" t="n">
        <f aca="false">L_INT</f>
        <v>0.616</v>
      </c>
      <c r="M32" s="9" t="n">
        <f aca="false">INDEX(RAC_LIST,MATCH(I32,SIZE_LIST,0))</f>
        <v>0.691199959253052</v>
      </c>
      <c r="N32" s="9" t="n">
        <f aca="false">INDEX(X_LIST,MATCH(I32,SIZE_LIST,0))</f>
        <v>0.189918360322886</v>
      </c>
      <c r="O32" s="16" t="n">
        <f aca="false">SQRT(3)*G32*L32*(M32*PF_WTG+N32*SQRT(1-PF_WTG^2))/(V_MV*1000)</f>
        <v>0.00148210961186713</v>
      </c>
      <c r="P32" s="9" t="n">
        <f aca="false">3*G32^2*M32*L32/1000</f>
        <v>5.72355958697592</v>
      </c>
      <c r="Q32" s="2"/>
    </row>
    <row r="33" customFormat="false" ht="15" hidden="false" customHeight="false" outlineLevel="0" collapsed="false">
      <c r="A33" s="2" t="s">
        <v>287</v>
      </c>
      <c r="B33" s="2" t="n">
        <v>2</v>
      </c>
      <c r="C33" s="2" t="s">
        <v>289</v>
      </c>
      <c r="D33" s="2" t="n">
        <v>2</v>
      </c>
      <c r="E33" s="9" t="n">
        <f aca="false">D33*P_WTG</f>
        <v>7.6</v>
      </c>
      <c r="F33" s="9" t="n">
        <f aca="false">D33*WTG!$C$5</f>
        <v>8</v>
      </c>
      <c r="G33" s="9" t="n">
        <f aca="false">F33*1000000/(SQRT(3)*V_MV*1000)</f>
        <v>133.878323290348</v>
      </c>
      <c r="H33" s="9" t="n">
        <f aca="false">G33/V_MIN</f>
        <v>140.924550831945</v>
      </c>
      <c r="I33" s="2" t="str">
        <f aca="false">INDEX(SIZE_LIST,IFERROR(MATCH(H33-0.0001,AMP_LIST,1),0)+1)</f>
        <v>1/0 AWG</v>
      </c>
      <c r="J33" s="9" t="n">
        <f aca="false">INDEX(AMP_LIST,MATCH(I33,SIZE_LIST,0))</f>
        <v>174.01903777423</v>
      </c>
      <c r="K33" s="15" t="n">
        <f aca="false">H33/J33</f>
        <v>0.809822606965445</v>
      </c>
      <c r="L33" s="9" t="n">
        <f aca="false">L_INT</f>
        <v>0.616</v>
      </c>
      <c r="M33" s="9" t="n">
        <f aca="false">INDEX(RAC_LIST,MATCH(I33,SIZE_LIST,0))</f>
        <v>0.691199959253052</v>
      </c>
      <c r="N33" s="9" t="n">
        <f aca="false">INDEX(X_LIST,MATCH(I33,SIZE_LIST,0))</f>
        <v>0.189918360322886</v>
      </c>
      <c r="O33" s="16" t="n">
        <f aca="false">SQRT(3)*G33*L33*(M33*PF_WTG+N33*SQRT(1-PF_WTG^2))/(V_MV*1000)</f>
        <v>0.00296421922373426</v>
      </c>
      <c r="P33" s="9" t="n">
        <f aca="false">3*G33^2*M33*L33/1000</f>
        <v>22.8942383479037</v>
      </c>
      <c r="Q33" s="2"/>
    </row>
    <row r="34" customFormat="false" ht="15" hidden="false" customHeight="false" outlineLevel="0" collapsed="false">
      <c r="A34" s="2" t="s">
        <v>287</v>
      </c>
      <c r="B34" s="2" t="n">
        <v>3</v>
      </c>
      <c r="C34" s="2" t="s">
        <v>290</v>
      </c>
      <c r="D34" s="2" t="n">
        <v>3</v>
      </c>
      <c r="E34" s="9" t="n">
        <f aca="false">D34*P_WTG</f>
        <v>11.4</v>
      </c>
      <c r="F34" s="9" t="n">
        <f aca="false">D34*WTG!$C$5</f>
        <v>12</v>
      </c>
      <c r="G34" s="9" t="n">
        <f aca="false">F34*1000000/(SQRT(3)*V_MV*1000)</f>
        <v>200.817484935522</v>
      </c>
      <c r="H34" s="9" t="n">
        <f aca="false">G34/V_MIN</f>
        <v>211.386826247918</v>
      </c>
      <c r="I34" s="2" t="str">
        <f aca="false">INDEX(SIZE_LIST,IFERROR(MATCH(H34-0.0001,AMP_LIST,1),0)+1)</f>
        <v>4/0 AWG</v>
      </c>
      <c r="J34" s="9" t="n">
        <f aca="false">INDEX(AMP_LIST,MATCH(I34,SIZE_LIST,0))</f>
        <v>253.132153376896</v>
      </c>
      <c r="K34" s="15" t="n">
        <f aca="false">H34/J34</f>
        <v>0.835084849664189</v>
      </c>
      <c r="L34" s="9" t="n">
        <f aca="false">L_INT</f>
        <v>0.616</v>
      </c>
      <c r="M34" s="9" t="n">
        <f aca="false">INDEX(RAC_LIST,MATCH(I34,SIZE_LIST,0))</f>
        <v>0.345208158868477</v>
      </c>
      <c r="N34" s="9" t="n">
        <f aca="false">INDEX(X_LIST,MATCH(I34,SIZE_LIST,0))</f>
        <v>0.169954942427806</v>
      </c>
      <c r="O34" s="16" t="n">
        <f aca="false">SQRT(3)*G34*L34*(M34*PF_WTG+N34*SQRT(1-PF_WTG^2))/(V_MV*1000)</f>
        <v>0.00236628564535293</v>
      </c>
      <c r="P34" s="9" t="n">
        <f aca="false">3*G34^2*M34*L34/1000</f>
        <v>25.7268174957105</v>
      </c>
      <c r="Q34" s="2"/>
    </row>
    <row r="35" customFormat="false" ht="15" hidden="false" customHeight="false" outlineLevel="0" collapsed="false">
      <c r="A35" s="2" t="s">
        <v>287</v>
      </c>
      <c r="B35" s="2" t="n">
        <v>4</v>
      </c>
      <c r="C35" s="2" t="s">
        <v>291</v>
      </c>
      <c r="D35" s="2" t="n">
        <v>4</v>
      </c>
      <c r="E35" s="9" t="n">
        <f aca="false">D35*P_WTG</f>
        <v>15.2</v>
      </c>
      <c r="F35" s="9" t="n">
        <f aca="false">D35*WTG!$C$5</f>
        <v>16</v>
      </c>
      <c r="G35" s="9" t="n">
        <f aca="false">F35*1000000/(SQRT(3)*V_MV*1000)</f>
        <v>267.756646580696</v>
      </c>
      <c r="H35" s="9" t="n">
        <f aca="false">G35/V_MIN</f>
        <v>281.849101663891</v>
      </c>
      <c r="I35" s="2" t="str">
        <f aca="false">INDEX(SIZE_LIST,IFERROR(MATCH(H35-0.0001,AMP_LIST,1),0)+1)</f>
        <v>350 kcmil</v>
      </c>
      <c r="J35" s="9" t="n">
        <f aca="false">INDEX(AMP_LIST,MATCH(I35,SIZE_LIST,0))</f>
        <v>331.698002282653</v>
      </c>
      <c r="K35" s="15" t="n">
        <f aca="false">H35/J35</f>
        <v>0.849716005897785</v>
      </c>
      <c r="L35" s="9" t="n">
        <f aca="false">L_INT</f>
        <v>0.616</v>
      </c>
      <c r="M35" s="9" t="n">
        <f aca="false">INDEX(RAC_LIST,MATCH(I35,SIZE_LIST,0))</f>
        <v>0.209204892241179</v>
      </c>
      <c r="N35" s="9" t="n">
        <f aca="false">INDEX(X_LIST,MATCH(I35,SIZE_LIST,0))</f>
        <v>0.156169896189904</v>
      </c>
      <c r="O35" s="16" t="n">
        <f aca="false">SQRT(3)*G35*L35*(M35*PF_WTG+N35*SQRT(1-PF_WTG^2))/(V_MV*1000)</f>
        <v>0.00204952368882923</v>
      </c>
      <c r="P35" s="9" t="n">
        <f aca="false">3*G35^2*M35*L35/1000</f>
        <v>27.717517065209</v>
      </c>
      <c r="Q35" s="2"/>
    </row>
    <row r="36" customFormat="false" ht="15" hidden="false" customHeight="false" outlineLevel="0" collapsed="false">
      <c r="A36" s="2" t="s">
        <v>287</v>
      </c>
      <c r="B36" s="2" t="n">
        <v>5</v>
      </c>
      <c r="C36" s="2" t="s">
        <v>292</v>
      </c>
      <c r="D36" s="2" t="n">
        <v>5</v>
      </c>
      <c r="E36" s="9" t="n">
        <f aca="false">D36*P_WTG</f>
        <v>19</v>
      </c>
      <c r="F36" s="9" t="n">
        <f aca="false">D36*WTG!$C$5</f>
        <v>20</v>
      </c>
      <c r="G36" s="9" t="n">
        <f aca="false">F36*1000000/(SQRT(3)*V_MV*1000)</f>
        <v>334.69580822587</v>
      </c>
      <c r="H36" s="9" t="n">
        <f aca="false">G36/V_MIN</f>
        <v>352.311377079863</v>
      </c>
      <c r="I36" s="2" t="str">
        <f aca="false">INDEX(SIZE_LIST,IFERROR(MATCH(H36-0.0001,AMP_LIST,1),0)+1)</f>
        <v>500 kcmil</v>
      </c>
      <c r="J36" s="9" t="n">
        <f aca="false">INDEX(AMP_LIST,MATCH(I36,SIZE_LIST,0))</f>
        <v>400.71111057974</v>
      </c>
      <c r="K36" s="15" t="n">
        <f aca="false">H36/J36</f>
        <v>0.879215394277804</v>
      </c>
      <c r="L36" s="9" t="n">
        <f aca="false">L_INT</f>
        <v>0.616</v>
      </c>
      <c r="M36" s="9" t="n">
        <f aca="false">INDEX(RAC_LIST,MATCH(I36,SIZE_LIST,0))</f>
        <v>0.146971088524473</v>
      </c>
      <c r="N36" s="9" t="n">
        <f aca="false">INDEX(X_LIST,MATCH(I36,SIZE_LIST,0))</f>
        <v>0.14738240924399</v>
      </c>
      <c r="O36" s="16" t="n">
        <f aca="false">SQRT(3)*G36*L36*(M36*PF_WTG+N36*SQRT(1-PF_WTG^2))/(V_MV*1000)</f>
        <v>0.0019215440253214</v>
      </c>
      <c r="P36" s="9" t="n">
        <f aca="false">3*G36^2*M36*L36/1000</f>
        <v>30.4252688195171</v>
      </c>
      <c r="Q36" s="2"/>
    </row>
    <row r="37" customFormat="false" ht="15" hidden="false" customHeight="false" outlineLevel="0" collapsed="false">
      <c r="A37" s="2" t="s">
        <v>287</v>
      </c>
      <c r="B37" s="2" t="n">
        <v>6</v>
      </c>
      <c r="C37" s="2" t="s">
        <v>293</v>
      </c>
      <c r="D37" s="2" t="n">
        <v>6</v>
      </c>
      <c r="E37" s="9" t="n">
        <f aca="false">D37*P_WTG</f>
        <v>22.8</v>
      </c>
      <c r="F37" s="9" t="n">
        <f aca="false">D37*WTG!$C$5</f>
        <v>24</v>
      </c>
      <c r="G37" s="9" t="n">
        <f aca="false">F37*1000000/(SQRT(3)*V_MV*1000)</f>
        <v>401.634969871044</v>
      </c>
      <c r="H37" s="9" t="n">
        <f aca="false">G37/V_MIN</f>
        <v>422.773652495836</v>
      </c>
      <c r="I37" s="2" t="str">
        <f aca="false">INDEX(SIZE_LIST,IFERROR(MATCH(H37-0.0001,GRP_AMP,1),0)+1)</f>
        <v>750 kcmil</v>
      </c>
      <c r="J37" s="9" t="n">
        <f aca="false">INDEX(GRP_AMP,MATCH(I37,SIZE_LIST,0))</f>
        <v>454.524012253741</v>
      </c>
      <c r="K37" s="15" t="n">
        <f aca="false">H37/J37</f>
        <v>0.930145913302859</v>
      </c>
      <c r="L37" s="9" t="n">
        <f aca="false">L_HR</f>
        <v>5</v>
      </c>
      <c r="M37" s="9" t="n">
        <f aca="false">INDEX(RAC_LIST,MATCH(I37,SIZE_LIST,0))</f>
        <v>0.0990431491587756</v>
      </c>
      <c r="N37" s="9" t="n">
        <f aca="false">INDEX(X_LIST,MATCH(I37,SIZE_LIST,0))</f>
        <v>0.137693218978132</v>
      </c>
      <c r="O37" s="16" t="n">
        <f aca="false">SQRT(3)*G37*L37*(M37*PF_WTG+N37*SQRT(1-PF_WTG^2))/(V_MV*1000)</f>
        <v>0.0138208630670609</v>
      </c>
      <c r="P37" s="9" t="n">
        <f aca="false">3*G37^2*M37*L37/1000</f>
        <v>239.650720081726</v>
      </c>
      <c r="Q37" s="2"/>
    </row>
    <row r="38" customFormat="false" ht="15" hidden="false" customHeight="false" outlineLevel="0" collapsed="false">
      <c r="A38" s="14" t="s">
        <v>294</v>
      </c>
      <c r="B38" s="2"/>
      <c r="C38" s="2"/>
      <c r="D38" s="2"/>
      <c r="E38" s="9" t="n">
        <f aca="false">MAX(E32:E37)</f>
        <v>22.8</v>
      </c>
      <c r="F38" s="2"/>
      <c r="G38" s="9" t="n">
        <f aca="false">MAX(G32:G37)</f>
        <v>401.634969871044</v>
      </c>
      <c r="H38" s="9" t="n">
        <f aca="false">MAX(H32:H37)</f>
        <v>422.773652495836</v>
      </c>
      <c r="I38" s="2"/>
      <c r="J38" s="2"/>
      <c r="K38" s="2"/>
      <c r="L38" s="2"/>
      <c r="M38" s="2"/>
      <c r="N38" s="2"/>
      <c r="O38" s="16" t="n">
        <f aca="false">SUM(O32:O37)</f>
        <v>0.0246045452621658</v>
      </c>
      <c r="P38" s="9" t="n">
        <f aca="false">SUM(P32:P37)</f>
        <v>352.138121397042</v>
      </c>
      <c r="Q38" s="16" t="n">
        <f aca="false">P38/1000/E38</f>
        <v>0.0154446544472387</v>
      </c>
    </row>
    <row r="39" customFormat="false" ht="15" hidden="false" customHeight="false" outlineLevel="0" collapsed="false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</row>
    <row r="40" customFormat="false" ht="15" hidden="false" customHeight="false" outlineLevel="0" collapsed="false">
      <c r="A40" s="2" t="s">
        <v>295</v>
      </c>
      <c r="B40" s="2"/>
      <c r="C40" s="2"/>
      <c r="D40" s="2"/>
      <c r="E40" s="2" t="n">
        <f aca="false">E12+E21+E30+E38</f>
        <v>102.6</v>
      </c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</row>
    <row r="41" customFormat="false" ht="15" hidden="false" customHeight="false" outlineLevel="0" collapsed="false">
      <c r="A41" s="2" t="s">
        <v>296</v>
      </c>
      <c r="B41" s="2"/>
      <c r="C41" s="2"/>
      <c r="D41" s="2"/>
      <c r="E41" s="2"/>
      <c r="F41" s="2"/>
      <c r="G41" s="2" t="n">
        <f aca="false">G12+G21+G30+G38</f>
        <v>1807.3573644197</v>
      </c>
      <c r="H41" s="2"/>
      <c r="I41" s="2"/>
      <c r="J41" s="2"/>
      <c r="K41" s="2"/>
      <c r="L41" s="2"/>
      <c r="M41" s="2"/>
      <c r="N41" s="2"/>
      <c r="O41" s="2"/>
      <c r="P41" s="2"/>
      <c r="Q41" s="2"/>
    </row>
    <row r="42" customFormat="false" ht="15" hidden="false" customHeight="false" outlineLevel="0" collapsed="false">
      <c r="A42" s="2" t="s">
        <v>297</v>
      </c>
      <c r="B42" s="2"/>
      <c r="C42" s="2"/>
      <c r="D42" s="2" t="n">
        <f aca="false">N_F1+N_F2+N_F3+N_F4</f>
        <v>27</v>
      </c>
      <c r="E42" s="2" t="str">
        <f aca="false">IF(D42=N_WTG,"OK — 27 WTGs","ERROR")</f>
        <v>OK — 27 WTGs</v>
      </c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</row>
    <row r="43" customFormat="false" ht="15" hidden="false" customHeight="false" outlineLevel="0" collapsed="false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</row>
    <row r="44" customFormat="false" ht="15" hidden="false" customHeight="false" outlineLevel="0" collapsed="false">
      <c r="A44" s="2" t="s">
        <v>298</v>
      </c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</row>
    <row r="45" customFormat="false" ht="15" hidden="false" customHeight="false" outlineLevel="0" collapsed="false">
      <c r="A45" s="2" t="s">
        <v>299</v>
      </c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</row>
    <row r="46" customFormat="false" ht="15" hidden="false" customHeight="false" outlineLevel="0" collapsed="false">
      <c r="A46" s="2" t="s">
        <v>300</v>
      </c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8" min="2" style="0" width="12"/>
  </cols>
  <sheetData>
    <row r="1" customFormat="false" ht="17.35" hidden="false" customHeight="false" outlineLevel="0" collapsed="false">
      <c r="A1" s="1" t="s">
        <v>301</v>
      </c>
      <c r="B1" s="2"/>
      <c r="C1" s="2"/>
      <c r="D1" s="2"/>
      <c r="E1" s="2"/>
      <c r="F1" s="2"/>
      <c r="G1" s="2"/>
      <c r="H1" s="2"/>
    </row>
    <row r="2" customFormat="false" ht="15" hidden="false" customHeight="false" outlineLevel="0" collapsed="false">
      <c r="A2" s="3" t="s">
        <v>1</v>
      </c>
      <c r="B2" s="2"/>
      <c r="C2" s="2"/>
      <c r="D2" s="2"/>
      <c r="E2" s="2"/>
      <c r="F2" s="2"/>
      <c r="G2" s="2"/>
      <c r="H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</row>
    <row r="4" customFormat="false" ht="15" hidden="false" customHeight="false" outlineLevel="0" collapsed="false">
      <c r="A4" s="6" t="s">
        <v>302</v>
      </c>
      <c r="B4" s="6" t="s">
        <v>234</v>
      </c>
      <c r="C4" s="6" t="s">
        <v>235</v>
      </c>
      <c r="D4" s="6" t="s">
        <v>236</v>
      </c>
      <c r="E4" s="6" t="s">
        <v>237</v>
      </c>
      <c r="F4" s="6" t="s">
        <v>238</v>
      </c>
      <c r="G4" s="6" t="s">
        <v>239</v>
      </c>
      <c r="H4" s="6" t="s">
        <v>240</v>
      </c>
    </row>
    <row r="5" customFormat="false" ht="15" hidden="false" customHeight="false" outlineLevel="0" collapsed="false">
      <c r="A5" s="2" t="s">
        <v>303</v>
      </c>
      <c r="B5" s="2" t="n">
        <v>193</v>
      </c>
      <c r="C5" s="2" t="n">
        <v>282</v>
      </c>
      <c r="D5" s="2" t="n">
        <v>371</v>
      </c>
      <c r="E5" s="2" t="n">
        <v>449</v>
      </c>
      <c r="F5" s="2" t="n">
        <v>556</v>
      </c>
      <c r="G5" s="2" t="n">
        <v>645</v>
      </c>
      <c r="H5" s="2" t="n">
        <v>719</v>
      </c>
    </row>
    <row r="6" customFormat="false" ht="15" hidden="false" customHeight="false" outlineLevel="0" collapsed="false">
      <c r="A6" s="2" t="s">
        <v>304</v>
      </c>
      <c r="B6" s="2" t="n">
        <v>186</v>
      </c>
      <c r="C6" s="2" t="n">
        <v>271</v>
      </c>
      <c r="D6" s="2" t="n">
        <v>356</v>
      </c>
      <c r="E6" s="2" t="n">
        <v>431</v>
      </c>
      <c r="F6" s="2" t="n">
        <v>533</v>
      </c>
      <c r="G6" s="2" t="n">
        <v>617</v>
      </c>
      <c r="H6" s="2" t="n">
        <v>688</v>
      </c>
    </row>
    <row r="7" customFormat="false" ht="15" hidden="false" customHeight="false" outlineLevel="0" collapsed="false">
      <c r="A7" s="2" t="s">
        <v>305</v>
      </c>
      <c r="B7" s="2" t="n">
        <v>174</v>
      </c>
      <c r="C7" s="2" t="n">
        <v>253</v>
      </c>
      <c r="D7" s="2" t="n">
        <v>332</v>
      </c>
      <c r="E7" s="2" t="n">
        <v>401</v>
      </c>
      <c r="F7" s="2" t="n">
        <v>495</v>
      </c>
      <c r="G7" s="2" t="n">
        <v>572</v>
      </c>
      <c r="H7" s="2" t="n">
        <v>637</v>
      </c>
    </row>
    <row r="8" customFormat="false" ht="15" hidden="false" customHeight="false" outlineLevel="0" collapsed="false">
      <c r="A8" s="2" t="s">
        <v>306</v>
      </c>
      <c r="B8" s="2" t="n">
        <v>160</v>
      </c>
      <c r="C8" s="2" t="n">
        <v>232</v>
      </c>
      <c r="D8" s="2" t="n">
        <v>303</v>
      </c>
      <c r="E8" s="2" t="n">
        <v>365</v>
      </c>
      <c r="F8" s="2" t="n">
        <v>450</v>
      </c>
      <c r="G8" s="2" t="n">
        <v>519</v>
      </c>
      <c r="H8" s="2" t="n">
        <v>578</v>
      </c>
    </row>
    <row r="9" customFormat="false" ht="15" hidden="false" customHeight="false" outlineLevel="0" collapsed="false">
      <c r="A9" s="2" t="s">
        <v>307</v>
      </c>
      <c r="B9" s="2" t="n">
        <v>142</v>
      </c>
      <c r="C9" s="2" t="n">
        <v>206</v>
      </c>
      <c r="D9" s="2" t="n">
        <v>268</v>
      </c>
      <c r="E9" s="2" t="n">
        <v>322</v>
      </c>
      <c r="F9" s="2" t="n">
        <v>396</v>
      </c>
      <c r="G9" s="2" t="n">
        <v>457</v>
      </c>
      <c r="H9" s="2" t="n">
        <v>507</v>
      </c>
    </row>
    <row r="10" customFormat="false" ht="15" hidden="false" customHeight="false" outlineLevel="0" collapsed="false">
      <c r="A10" s="2" t="s">
        <v>308</v>
      </c>
      <c r="B10" s="2" t="n">
        <v>149</v>
      </c>
      <c r="C10" s="2" t="n">
        <v>215</v>
      </c>
      <c r="D10" s="2" t="n">
        <v>279</v>
      </c>
      <c r="E10" s="2" t="n">
        <v>335</v>
      </c>
      <c r="F10" s="2" t="n">
        <v>411</v>
      </c>
      <c r="G10" s="2" t="n">
        <v>472</v>
      </c>
      <c r="H10" s="2" t="n">
        <v>524</v>
      </c>
    </row>
    <row r="11" customFormat="false" ht="15" hidden="false" customHeight="false" outlineLevel="0" collapsed="false">
      <c r="A11" s="2" t="s">
        <v>309</v>
      </c>
      <c r="B11" s="2" t="n">
        <v>162</v>
      </c>
      <c r="C11" s="2" t="n">
        <v>235</v>
      </c>
      <c r="D11" s="2" t="n">
        <v>307</v>
      </c>
      <c r="E11" s="2" t="n">
        <v>369</v>
      </c>
      <c r="F11" s="2" t="n">
        <v>455</v>
      </c>
      <c r="G11" s="2" t="n">
        <v>524</v>
      </c>
      <c r="H11" s="2" t="n">
        <v>582</v>
      </c>
    </row>
    <row r="12" customFormat="false" ht="15" hidden="false" customHeight="false" outlineLevel="0" collapsed="false">
      <c r="A12" s="2" t="s">
        <v>310</v>
      </c>
      <c r="B12" s="2" t="n">
        <v>168</v>
      </c>
      <c r="C12" s="2" t="n">
        <v>243</v>
      </c>
      <c r="D12" s="2" t="n">
        <v>318</v>
      </c>
      <c r="E12" s="2" t="n">
        <v>383</v>
      </c>
      <c r="F12" s="2" t="n">
        <v>472</v>
      </c>
      <c r="G12" s="2" t="n">
        <v>545</v>
      </c>
      <c r="H12" s="2" t="n">
        <v>607</v>
      </c>
    </row>
    <row r="13" customFormat="false" ht="15" hidden="false" customHeight="false" outlineLevel="0" collapsed="false">
      <c r="A13" s="2"/>
      <c r="B13" s="2"/>
      <c r="C13" s="2"/>
      <c r="D13" s="2"/>
      <c r="E13" s="2"/>
      <c r="F13" s="2"/>
      <c r="G13" s="2"/>
      <c r="H13" s="2"/>
    </row>
    <row r="14" customFormat="false" ht="15" hidden="false" customHeight="false" outlineLevel="0" collapsed="false">
      <c r="A14" s="2" t="s">
        <v>311</v>
      </c>
      <c r="B14" s="2"/>
      <c r="C14" s="2"/>
      <c r="D14" s="2"/>
      <c r="E14" s="2"/>
      <c r="F14" s="2"/>
      <c r="G14" s="2"/>
      <c r="H14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2"/>
    <col collapsed="false" customWidth="true" hidden="false" outlineLevel="0" max="6" min="3" style="0" width="14"/>
  </cols>
  <sheetData>
    <row r="1" customFormat="false" ht="17.35" hidden="false" customHeight="false" outlineLevel="0" collapsed="false">
      <c r="A1" s="1" t="s">
        <v>312</v>
      </c>
      <c r="B1" s="2"/>
      <c r="C1" s="2"/>
      <c r="D1" s="2"/>
      <c r="E1" s="2"/>
      <c r="F1" s="2"/>
    </row>
    <row r="2" customFormat="false" ht="15" hidden="false" customHeight="false" outlineLevel="0" collapsed="false">
      <c r="A2" s="3" t="s">
        <v>1</v>
      </c>
      <c r="B2" s="2"/>
      <c r="C2" s="2"/>
      <c r="D2" s="2"/>
      <c r="E2" s="2"/>
      <c r="F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</row>
    <row r="4" customFormat="false" ht="15" hidden="false" customHeight="false" outlineLevel="0" collapsed="false">
      <c r="A4" s="2" t="s">
        <v>313</v>
      </c>
      <c r="B4" s="2"/>
      <c r="C4" s="2"/>
      <c r="D4" s="2"/>
      <c r="E4" s="2"/>
      <c r="F4" s="2"/>
    </row>
    <row r="5" customFormat="false" ht="15" hidden="false" customHeight="false" outlineLevel="0" collapsed="false">
      <c r="A5" s="2" t="s">
        <v>314</v>
      </c>
      <c r="B5" s="2"/>
      <c r="C5" s="2"/>
      <c r="D5" s="2"/>
      <c r="E5" s="2"/>
      <c r="F5" s="2"/>
    </row>
    <row r="6" customFormat="false" ht="15" hidden="false" customHeight="false" outlineLevel="0" collapsed="false">
      <c r="A6" s="2"/>
      <c r="B6" s="2"/>
      <c r="C6" s="2"/>
      <c r="D6" s="2"/>
      <c r="E6" s="2"/>
      <c r="F6" s="2"/>
    </row>
    <row r="7" customFormat="false" ht="15" hidden="false" customHeight="false" outlineLevel="0" collapsed="false">
      <c r="A7" s="6" t="s">
        <v>202</v>
      </c>
      <c r="B7" s="6" t="s">
        <v>315</v>
      </c>
      <c r="C7" s="6" t="s">
        <v>316</v>
      </c>
      <c r="D7" s="6" t="s">
        <v>317</v>
      </c>
      <c r="E7" s="6" t="s">
        <v>318</v>
      </c>
      <c r="F7" s="6" t="s">
        <v>319</v>
      </c>
    </row>
    <row r="8" customFormat="false" ht="15" hidden="false" customHeight="false" outlineLevel="0" collapsed="false">
      <c r="A8" s="2" t="s">
        <v>234</v>
      </c>
      <c r="B8" s="17" t="n">
        <f aca="false">Cable_Ampacity!B5*1.973525</f>
        <v>105.56385225</v>
      </c>
      <c r="C8" s="17" t="n">
        <f aca="false">B8*1000*SQRT(0.0125*LOG10((250+228)/(90+228))/0.1)/1000</f>
        <v>15.7021030285597</v>
      </c>
      <c r="D8" s="17" t="n">
        <f aca="false">B8*1000*SQRT(0.0125*LOG10((250+228)/(90+228))/0.25)/1000</f>
        <v>9.93088192497532</v>
      </c>
      <c r="E8" s="17" t="n">
        <f aca="false">B8*1000*SQRT(0.0125*LOG10((250+228)/(90+228))/0.5)/1000</f>
        <v>7.02219395231296</v>
      </c>
      <c r="F8" s="17" t="n">
        <f aca="false">B8*1000*SQRT(0.0125*LOG10((250+228)/(90+228))/1)/1000</f>
        <v>4.96544096248766</v>
      </c>
    </row>
    <row r="9" customFormat="false" ht="15" hidden="false" customHeight="false" outlineLevel="0" collapsed="false">
      <c r="A9" s="2" t="s">
        <v>235</v>
      </c>
      <c r="B9" s="17" t="n">
        <f aca="false">Cable_Ampacity!B6*1.973525</f>
        <v>211.56188</v>
      </c>
      <c r="C9" s="17" t="n">
        <f aca="false">B9*1000*SQRT(0.0125*LOG10((250+228)/(90+228))/0.1)/1000</f>
        <v>31.4687875240531</v>
      </c>
      <c r="D9" s="17" t="n">
        <f aca="false">B9*1000*SQRT(0.0125*LOG10((250+228)/(90+228))/0.25)/1000</f>
        <v>19.9026087559797</v>
      </c>
      <c r="E9" s="17" t="n">
        <f aca="false">B9*1000*SQRT(0.0125*LOG10((250+228)/(90+228))/0.5)/1000</f>
        <v>14.073269614656</v>
      </c>
      <c r="F9" s="17" t="n">
        <f aca="false">B9*1000*SQRT(0.0125*LOG10((250+228)/(90+228))/1)/1000</f>
        <v>9.95130437798985</v>
      </c>
    </row>
    <row r="10" customFormat="false" ht="15" hidden="false" customHeight="false" outlineLevel="0" collapsed="false">
      <c r="A10" s="2" t="s">
        <v>236</v>
      </c>
      <c r="B10" s="17" t="n">
        <f aca="false">Cable_Ampacity!B7*1.973525</f>
        <v>349.9059825</v>
      </c>
      <c r="C10" s="17" t="n">
        <f aca="false">B10*1000*SQRT(0.0125*LOG10((250+228)/(90+228))/0.1)/1000</f>
        <v>52.0467913061065</v>
      </c>
      <c r="D10" s="17" t="n">
        <f aca="false">B10*1000*SQRT(0.0125*LOG10((250+228)/(90+228))/0.25)/1000</f>
        <v>32.9172810861493</v>
      </c>
      <c r="E10" s="17" t="n">
        <f aca="false">B10*1000*SQRT(0.0125*LOG10((250+228)/(90+228))/0.5)/1000</f>
        <v>23.2760326742398</v>
      </c>
      <c r="F10" s="17" t="n">
        <f aca="false">B10*1000*SQRT(0.0125*LOG10((250+228)/(90+228))/1)/1000</f>
        <v>16.4586405430746</v>
      </c>
    </row>
    <row r="11" customFormat="false" ht="15" hidden="false" customHeight="false" outlineLevel="0" collapsed="false">
      <c r="A11" s="2" t="s">
        <v>237</v>
      </c>
      <c r="B11" s="17" t="n">
        <f aca="false">Cable_Ampacity!B8*1.973525</f>
        <v>500.091235</v>
      </c>
      <c r="C11" s="17" t="n">
        <f aca="false">B11*1000*SQRT(0.0125*LOG10((250+228)/(90+228))/0.1)/1000</f>
        <v>74.3861078227151</v>
      </c>
      <c r="D11" s="17" t="n">
        <f aca="false">B11*1000*SQRT(0.0125*LOG10((250+228)/(90+228))/0.25)/1000</f>
        <v>47.0459053989296</v>
      </c>
      <c r="E11" s="17" t="n">
        <f aca="false">B11*1000*SQRT(0.0125*LOG10((250+228)/(90+228))/0.5)/1000</f>
        <v>33.2664787346439</v>
      </c>
      <c r="F11" s="17" t="n">
        <f aca="false">B11*1000*SQRT(0.0125*LOG10((250+228)/(90+228))/1)/1000</f>
        <v>23.5229526994648</v>
      </c>
    </row>
    <row r="12" customFormat="false" ht="15" hidden="false" customHeight="false" outlineLevel="0" collapsed="false">
      <c r="A12" s="2" t="s">
        <v>238</v>
      </c>
      <c r="B12" s="17" t="n">
        <f aca="false">Cable_Ampacity!B9*1.973525</f>
        <v>749.9395</v>
      </c>
      <c r="C12" s="17" t="n">
        <f aca="false">B12*1000*SQRT(0.0125*LOG10((250+228)/(90+228))/0.1)/1000</f>
        <v>111.54980652183</v>
      </c>
      <c r="D12" s="17" t="n">
        <f aca="false">B12*1000*SQRT(0.0125*LOG10((250+228)/(90+228))/0.25)/1000</f>
        <v>70.5502922320176</v>
      </c>
      <c r="E12" s="17" t="n">
        <f aca="false">B12*1000*SQRT(0.0125*LOG10((250+228)/(90+228))/0.5)/1000</f>
        <v>49.8865900519522</v>
      </c>
      <c r="F12" s="17" t="n">
        <f aca="false">B12*1000*SQRT(0.0125*LOG10((250+228)/(90+228))/1)/1000</f>
        <v>35.2751461160088</v>
      </c>
    </row>
    <row r="13" customFormat="false" ht="15" hidden="false" customHeight="false" outlineLevel="0" collapsed="false">
      <c r="A13" s="2" t="s">
        <v>239</v>
      </c>
      <c r="B13" s="17" t="n">
        <f aca="false">Cable_Ampacity!B10*1.973525</f>
        <v>999.9851175</v>
      </c>
      <c r="C13" s="17" t="n">
        <f aca="false">B13*1000*SQRT(0.0125*LOG10((250+228)/(90+228))/0.1)/1000</f>
        <v>148.742860433188</v>
      </c>
      <c r="D13" s="17" t="n">
        <f aca="false">B13*1000*SQRT(0.0125*LOG10((250+228)/(90+228))/0.25)/1000</f>
        <v>94.0732449314824</v>
      </c>
      <c r="E13" s="17" t="n">
        <f aca="false">B13*1000*SQRT(0.0125*LOG10((250+228)/(90+228))/0.5)/1000</f>
        <v>66.5198294192742</v>
      </c>
      <c r="F13" s="17" t="n">
        <f aca="false">B13*1000*SQRT(0.0125*LOG10((250+228)/(90+228))/1)/1000</f>
        <v>47.0366224657412</v>
      </c>
    </row>
    <row r="14" customFormat="false" ht="15" hidden="false" customHeight="false" outlineLevel="0" collapsed="false">
      <c r="A14" s="2" t="s">
        <v>240</v>
      </c>
      <c r="B14" s="17" t="n">
        <f aca="false">Cable_Ampacity!B11*1.973525</f>
        <v>1250.030735</v>
      </c>
      <c r="C14" s="17" t="n">
        <f aca="false">B14*1000*SQRT(0.0125*LOG10((250+228)/(90+228))/0.1)/1000</f>
        <v>185.935914344545</v>
      </c>
      <c r="D14" s="17" t="n">
        <f aca="false">B14*1000*SQRT(0.0125*LOG10((250+228)/(90+228))/0.25)/1000</f>
        <v>117.596197630947</v>
      </c>
      <c r="E14" s="17" t="n">
        <f aca="false">B14*1000*SQRT(0.0125*LOG10((250+228)/(90+228))/0.5)/1000</f>
        <v>83.1530687865962</v>
      </c>
      <c r="F14" s="17" t="n">
        <f aca="false">B14*1000*SQRT(0.0125*LOG10((250+228)/(90+228))/1)/1000</f>
        <v>58.7980988154736</v>
      </c>
    </row>
    <row r="15" customFormat="false" ht="15" hidden="false" customHeight="false" outlineLevel="0" collapsed="false">
      <c r="A15" s="2"/>
      <c r="B15" s="2"/>
      <c r="C15" s="2"/>
      <c r="D15" s="2"/>
      <c r="E15" s="2"/>
      <c r="F15" s="2"/>
    </row>
    <row r="16" customFormat="false" ht="15" hidden="false" customHeight="false" outlineLevel="0" collapsed="false">
      <c r="A16" s="2"/>
      <c r="B16" s="2"/>
      <c r="C16" s="2"/>
      <c r="D16" s="2"/>
      <c r="E16" s="2"/>
      <c r="F16" s="2"/>
    </row>
    <row r="17" customFormat="false" ht="15" hidden="false" customHeight="false" outlineLevel="0" collapsed="false">
      <c r="A17" s="2" t="s">
        <v>320</v>
      </c>
      <c r="B17" s="2"/>
      <c r="C17" s="17" t="n">
        <f aca="false">Cable_Ampacity!R5</f>
        <v>36.4133357243814</v>
      </c>
      <c r="D17" s="2"/>
      <c r="E17" s="2"/>
      <c r="F17" s="2"/>
    </row>
    <row r="18" customFormat="false" ht="15" hidden="false" customHeight="false" outlineLevel="0" collapsed="false">
      <c r="A18" s="6"/>
      <c r="B18" s="6"/>
      <c r="C18" s="6" t="s">
        <v>321</v>
      </c>
      <c r="D18" s="6" t="s">
        <v>322</v>
      </c>
      <c r="E18" s="6" t="s">
        <v>323</v>
      </c>
      <c r="F18" s="6" t="s">
        <v>324</v>
      </c>
    </row>
    <row r="19" customFormat="false" ht="15" hidden="false" customHeight="false" outlineLevel="0" collapsed="false">
      <c r="A19" s="2"/>
      <c r="B19" s="2"/>
      <c r="C19" s="17" t="n">
        <f aca="false">$C$17*1.973525*1000*SQRT(0.0297*LOG10((200+234)/(80+234))/0.1)/1000</f>
        <v>14.6829162713797</v>
      </c>
      <c r="D19" s="17" t="n">
        <f aca="false">$C$17*1.973525*1000*SQRT(0.0297*LOG10((200+234)/(80+234))/0.25)/1000</f>
        <v>9.28629162222134</v>
      </c>
      <c r="E19" s="17" t="n">
        <f aca="false">$C$17*1.973525*1000*SQRT(0.0297*LOG10((200+234)/(80+234))/0.5)/1000</f>
        <v>6.56639977814853</v>
      </c>
      <c r="F19" s="17" t="n">
        <f aca="false">$C$17*1.973525*1000*SQRT(0.0297*LOG10((200+234)/(80+234))/1)/1000</f>
        <v>4.64314581111067</v>
      </c>
    </row>
    <row r="20" customFormat="false" ht="15" hidden="false" customHeight="false" outlineLevel="0" collapsed="false">
      <c r="A20" s="2"/>
      <c r="B20" s="2"/>
      <c r="C20" s="2"/>
      <c r="D20" s="2"/>
      <c r="E20" s="2"/>
      <c r="F20" s="2"/>
    </row>
    <row r="21" customFormat="false" ht="15" hidden="false" customHeight="false" outlineLevel="0" collapsed="false">
      <c r="A21" s="6" t="s">
        <v>325</v>
      </c>
      <c r="B21" s="6" t="s">
        <v>326</v>
      </c>
      <c r="C21" s="6" t="s">
        <v>322</v>
      </c>
      <c r="D21" s="6" t="s">
        <v>323</v>
      </c>
      <c r="E21" s="6" t="s">
        <v>324</v>
      </c>
      <c r="F21" s="2"/>
    </row>
    <row r="22" customFormat="false" ht="15" hidden="false" customHeight="false" outlineLevel="0" collapsed="false">
      <c r="A22" s="2"/>
      <c r="B22" s="10" t="n">
        <v>5</v>
      </c>
      <c r="C22" s="17" t="n">
        <f aca="false">B22*1000/SQRT(0.0297*LOG10((200+234)/(80+234))/0.25)/1973.525</f>
        <v>19.6059617798601</v>
      </c>
      <c r="D22" s="17" t="n">
        <f aca="false">B22*1000/SQRT(0.0297*LOG10((200+234)/(80+234))/0.5)/1973.525</f>
        <v>27.7270170524467</v>
      </c>
      <c r="E22" s="17" t="n">
        <f aca="false">B22*1000/SQRT(0.0297*LOG10((200+234)/(80+234))/1)/1973.525</f>
        <v>39.2119235597203</v>
      </c>
      <c r="F22" s="2"/>
    </row>
    <row r="23" customFormat="false" ht="15" hidden="false" customHeight="false" outlineLevel="0" collapsed="false">
      <c r="A23" s="2"/>
      <c r="B23" s="10" t="n">
        <v>10</v>
      </c>
      <c r="C23" s="17" t="n">
        <f aca="false">B23*1000/SQRT(0.0297*LOG10((200+234)/(80+234))/0.25)/1973.525</f>
        <v>39.2119235597203</v>
      </c>
      <c r="D23" s="17" t="n">
        <f aca="false">B23*1000/SQRT(0.0297*LOG10((200+234)/(80+234))/0.5)/1973.525</f>
        <v>55.4540341048935</v>
      </c>
      <c r="E23" s="17" t="n">
        <f aca="false">B23*1000/SQRT(0.0297*LOG10((200+234)/(80+234))/1)/1973.525</f>
        <v>78.4238471194405</v>
      </c>
      <c r="F23" s="2"/>
    </row>
    <row r="24" customFormat="false" ht="15" hidden="false" customHeight="false" outlineLevel="0" collapsed="false">
      <c r="A24" s="2"/>
      <c r="B24" s="10" t="n">
        <v>15</v>
      </c>
      <c r="C24" s="17" t="n">
        <f aca="false">B24*1000/SQRT(0.0297*LOG10((200+234)/(80+234))/0.25)/1973.525</f>
        <v>58.8178853395804</v>
      </c>
      <c r="D24" s="17" t="n">
        <f aca="false">B24*1000/SQRT(0.0297*LOG10((200+234)/(80+234))/0.5)/1973.525</f>
        <v>83.1810511573402</v>
      </c>
      <c r="E24" s="17" t="n">
        <f aca="false">B24*1000/SQRT(0.0297*LOG10((200+234)/(80+234))/1)/1973.525</f>
        <v>117.635770679161</v>
      </c>
      <c r="F24" s="2"/>
    </row>
    <row r="25" customFormat="false" ht="15" hidden="false" customHeight="false" outlineLevel="0" collapsed="false">
      <c r="A25" s="2"/>
      <c r="B25" s="10" t="n">
        <v>20</v>
      </c>
      <c r="C25" s="17" t="n">
        <f aca="false">B25*1000/SQRT(0.0297*LOG10((200+234)/(80+234))/0.25)/1973.525</f>
        <v>78.4238471194405</v>
      </c>
      <c r="D25" s="17" t="n">
        <f aca="false">B25*1000/SQRT(0.0297*LOG10((200+234)/(80+234))/0.5)/1973.525</f>
        <v>110.908068209787</v>
      </c>
      <c r="E25" s="17" t="n">
        <f aca="false">B25*1000/SQRT(0.0297*LOG10((200+234)/(80+234))/1)/1973.525</f>
        <v>156.847694238881</v>
      </c>
      <c r="F25" s="2"/>
    </row>
    <row r="26" customFormat="false" ht="15" hidden="false" customHeight="false" outlineLevel="0" collapsed="false">
      <c r="A26" s="2"/>
      <c r="B26" s="2"/>
      <c r="C26" s="2"/>
      <c r="D26" s="2"/>
      <c r="E26" s="2"/>
      <c r="F26" s="2"/>
    </row>
    <row r="27" customFormat="false" ht="15" hidden="false" customHeight="false" outlineLevel="0" collapsed="false">
      <c r="A27" s="2" t="s">
        <v>327</v>
      </c>
      <c r="B27" s="2"/>
      <c r="C27" s="2"/>
      <c r="D27" s="2"/>
      <c r="E27" s="2"/>
      <c r="F27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26"/>
    <col collapsed="false" customWidth="true" hidden="false" outlineLevel="0" max="3" min="3" style="0" width="24"/>
    <col collapsed="false" customWidth="true" hidden="false" outlineLevel="0" max="4" min="4" style="0" width="14"/>
    <col collapsed="false" customWidth="true" hidden="false" outlineLevel="0" max="6" min="5" style="0" width="18"/>
  </cols>
  <sheetData>
    <row r="1" customFormat="false" ht="17.35" hidden="false" customHeight="false" outlineLevel="0" collapsed="false">
      <c r="A1" s="1" t="s">
        <v>328</v>
      </c>
      <c r="B1" s="2"/>
      <c r="C1" s="2"/>
      <c r="D1" s="2"/>
      <c r="E1" s="2"/>
      <c r="F1" s="2"/>
    </row>
    <row r="2" customFormat="false" ht="15" hidden="false" customHeight="false" outlineLevel="0" collapsed="false">
      <c r="A2" s="3" t="s">
        <v>1</v>
      </c>
      <c r="B2" s="2"/>
      <c r="C2" s="2"/>
      <c r="D2" s="2"/>
      <c r="E2" s="2"/>
      <c r="F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</row>
    <row r="4" customFormat="false" ht="15" hidden="false" customHeight="false" outlineLevel="0" collapsed="false">
      <c r="A4" s="6" t="s">
        <v>177</v>
      </c>
      <c r="B4" s="6" t="s">
        <v>178</v>
      </c>
      <c r="C4" s="6" t="s">
        <v>21</v>
      </c>
      <c r="D4" s="6" t="s">
        <v>22</v>
      </c>
      <c r="E4" s="2"/>
      <c r="F4" s="2"/>
    </row>
    <row r="5" customFormat="false" ht="15" hidden="false" customHeight="false" outlineLevel="0" collapsed="false">
      <c r="A5" s="2" t="s">
        <v>329</v>
      </c>
      <c r="B5" s="2" t="s">
        <v>330</v>
      </c>
      <c r="C5" s="9" t="n">
        <f aca="false">P_BESS/PF_BESS</f>
        <v>105.263157894737</v>
      </c>
      <c r="D5" s="2" t="s">
        <v>80</v>
      </c>
      <c r="E5" s="2"/>
      <c r="F5" s="2"/>
    </row>
    <row r="6" customFormat="false" ht="15" hidden="false" customHeight="false" outlineLevel="0" collapsed="false">
      <c r="A6" s="2" t="s">
        <v>331</v>
      </c>
      <c r="B6" s="2" t="s">
        <v>332</v>
      </c>
      <c r="C6" s="9" t="n">
        <f aca="false">P_BESS/N_BF</f>
        <v>25</v>
      </c>
      <c r="D6" s="2" t="s">
        <v>32</v>
      </c>
      <c r="E6" s="2"/>
      <c r="F6" s="2"/>
    </row>
    <row r="7" customFormat="false" ht="15" hidden="false" customHeight="false" outlineLevel="0" collapsed="false">
      <c r="A7" s="2" t="s">
        <v>333</v>
      </c>
      <c r="B7" s="2" t="s">
        <v>334</v>
      </c>
      <c r="C7" s="9" t="n">
        <f aca="false">C5/N_BF</f>
        <v>26.3157894736842</v>
      </c>
      <c r="D7" s="2" t="s">
        <v>80</v>
      </c>
      <c r="E7" s="2"/>
      <c r="F7" s="2"/>
    </row>
    <row r="8" customFormat="false" ht="15" hidden="false" customHeight="false" outlineLevel="0" collapsed="false">
      <c r="A8" s="2" t="s">
        <v>335</v>
      </c>
      <c r="B8" s="2" t="s">
        <v>336</v>
      </c>
      <c r="C8" s="9" t="n">
        <f aca="false">C7*1000000/(SQRT(3)*V_MV*1000)</f>
        <v>440.389221349829</v>
      </c>
      <c r="D8" s="2" t="s">
        <v>48</v>
      </c>
      <c r="E8" s="2"/>
      <c r="F8" s="2"/>
    </row>
    <row r="9" customFormat="false" ht="15" hidden="false" customHeight="false" outlineLevel="0" collapsed="false">
      <c r="A9" s="2" t="s">
        <v>337</v>
      </c>
      <c r="B9" s="2"/>
      <c r="C9" s="9" t="n">
        <f aca="false">C8/V_MIN</f>
        <v>463.567601420873</v>
      </c>
      <c r="D9" s="2" t="s">
        <v>48</v>
      </c>
      <c r="E9" s="2"/>
      <c r="F9" s="2"/>
    </row>
    <row r="10" customFormat="false" ht="15" hidden="false" customHeight="false" outlineLevel="0" collapsed="false">
      <c r="A10" s="2" t="s">
        <v>338</v>
      </c>
      <c r="B10" s="2"/>
      <c r="C10" s="9" t="n">
        <f aca="false">C5*1000000/(SQRT(3)*V_MV*1000)</f>
        <v>1761.55688539932</v>
      </c>
      <c r="D10" s="2" t="s">
        <v>48</v>
      </c>
      <c r="E10" s="2"/>
      <c r="F10" s="2"/>
    </row>
    <row r="11" customFormat="false" ht="15" hidden="false" customHeight="false" outlineLevel="0" collapsed="false">
      <c r="A11" s="2" t="s">
        <v>339</v>
      </c>
      <c r="B11" s="2" t="s">
        <v>340</v>
      </c>
      <c r="C11" s="9" t="n">
        <f aca="false">E_BESS/P_BESS</f>
        <v>2</v>
      </c>
      <c r="D11" s="2" t="s">
        <v>341</v>
      </c>
      <c r="E11" s="2"/>
      <c r="F11" s="2"/>
    </row>
    <row r="12" customFormat="false" ht="15" hidden="false" customHeight="false" outlineLevel="0" collapsed="false">
      <c r="A12" s="2"/>
      <c r="B12" s="2"/>
      <c r="C12" s="2"/>
      <c r="D12" s="2"/>
      <c r="E12" s="2"/>
      <c r="F12" s="2"/>
    </row>
    <row r="13" customFormat="false" ht="15" hidden="false" customHeight="false" outlineLevel="0" collapsed="false">
      <c r="A13" s="2" t="s">
        <v>342</v>
      </c>
      <c r="B13" s="2"/>
      <c r="C13" s="2"/>
      <c r="D13" s="2"/>
      <c r="E13" s="2"/>
      <c r="F13" s="2"/>
    </row>
    <row r="14" customFormat="false" ht="23.85" hidden="false" customHeight="false" outlineLevel="0" collapsed="false">
      <c r="A14" s="6" t="s">
        <v>247</v>
      </c>
      <c r="B14" s="6" t="s">
        <v>343</v>
      </c>
      <c r="C14" s="6" t="s">
        <v>344</v>
      </c>
      <c r="D14" s="6" t="s">
        <v>345</v>
      </c>
      <c r="E14" s="6" t="s">
        <v>346</v>
      </c>
      <c r="F14" s="6" t="s">
        <v>347</v>
      </c>
    </row>
    <row r="15" customFormat="false" ht="15" hidden="false" customHeight="false" outlineLevel="0" collapsed="false">
      <c r="A15" s="2" t="s">
        <v>348</v>
      </c>
      <c r="B15" s="18"/>
      <c r="C15" s="18"/>
      <c r="D15" s="2" t="n">
        <f aca="false">B15*C15</f>
        <v>0</v>
      </c>
      <c r="E15" s="2" t="n">
        <f aca="false">D15*1000000/(SQRT(3)*V_MV*1000)</f>
        <v>0</v>
      </c>
      <c r="F15" s="2" t="n">
        <f aca="false">E15/V_MIN</f>
        <v>0</v>
      </c>
    </row>
    <row r="16" customFormat="false" ht="15" hidden="false" customHeight="false" outlineLevel="0" collapsed="false">
      <c r="A16" s="2" t="s">
        <v>349</v>
      </c>
      <c r="B16" s="18"/>
      <c r="C16" s="18"/>
      <c r="D16" s="2" t="n">
        <f aca="false">B16*C16</f>
        <v>0</v>
      </c>
      <c r="E16" s="2" t="n">
        <f aca="false">D16*1000000/(SQRT(3)*V_MV*1000)</f>
        <v>0</v>
      </c>
      <c r="F16" s="2" t="n">
        <f aca="false">E16/V_MIN</f>
        <v>0</v>
      </c>
    </row>
    <row r="17" customFormat="false" ht="15" hidden="false" customHeight="false" outlineLevel="0" collapsed="false">
      <c r="A17" s="2" t="s">
        <v>350</v>
      </c>
      <c r="B17" s="18"/>
      <c r="C17" s="18"/>
      <c r="D17" s="2" t="n">
        <f aca="false">B17*C17</f>
        <v>0</v>
      </c>
      <c r="E17" s="2" t="n">
        <f aca="false">D17*1000000/(SQRT(3)*V_MV*1000)</f>
        <v>0</v>
      </c>
      <c r="F17" s="2" t="n">
        <f aca="false">E17/V_MIN</f>
        <v>0</v>
      </c>
    </row>
    <row r="18" customFormat="false" ht="15" hidden="false" customHeight="false" outlineLevel="0" collapsed="false">
      <c r="A18" s="2" t="s">
        <v>351</v>
      </c>
      <c r="B18" s="18"/>
      <c r="C18" s="18"/>
      <c r="D18" s="2" t="n">
        <f aca="false">B18*C18</f>
        <v>0</v>
      </c>
      <c r="E18" s="2" t="n">
        <f aca="false">D18*1000000/(SQRT(3)*V_MV*1000)</f>
        <v>0</v>
      </c>
      <c r="F18" s="2" t="n">
        <f aca="false">E18/V_MIN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26"/>
    <col collapsed="false" customWidth="true" hidden="false" outlineLevel="0" max="5" min="3" style="0" width="12"/>
    <col collapsed="false" customWidth="true" hidden="false" outlineLevel="0" max="6" min="6" style="0" width="14"/>
    <col collapsed="false" customWidth="true" hidden="false" outlineLevel="0" max="7" min="7" style="0" width="10"/>
    <col collapsed="false" customWidth="true" hidden="false" outlineLevel="0" max="8" min="8" style="0" width="12"/>
    <col collapsed="false" customWidth="true" hidden="false" outlineLevel="0" max="10" min="9" style="0" width="10"/>
    <col collapsed="false" customWidth="true" hidden="false" outlineLevel="0" max="12" min="11" style="0" width="11"/>
  </cols>
  <sheetData>
    <row r="1" customFormat="false" ht="17.35" hidden="false" customHeight="false" outlineLevel="0" collapsed="false">
      <c r="A1" s="1" t="s">
        <v>352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customFormat="false" ht="15" hidden="false" customHeight="false" outlineLevel="0" collapsed="false">
      <c r="A2" s="3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customFormat="false" ht="15" hidden="false" customHeight="false" outlineLevel="0" collapsed="false">
      <c r="A4" s="6" t="s">
        <v>177</v>
      </c>
      <c r="B4" s="6" t="s">
        <v>178</v>
      </c>
      <c r="C4" s="6" t="s">
        <v>21</v>
      </c>
      <c r="D4" s="6" t="s">
        <v>22</v>
      </c>
      <c r="E4" s="2"/>
      <c r="F4" s="2"/>
      <c r="G4" s="2"/>
      <c r="H4" s="2"/>
      <c r="I4" s="2"/>
      <c r="J4" s="2"/>
      <c r="K4" s="2"/>
      <c r="L4" s="2"/>
    </row>
    <row r="5" customFormat="false" ht="15" hidden="false" customHeight="false" outlineLevel="0" collapsed="false">
      <c r="A5" s="2" t="s">
        <v>353</v>
      </c>
      <c r="B5" s="2" t="s">
        <v>354</v>
      </c>
      <c r="C5" s="9" t="n">
        <f aca="false">P_EXP*TAN(ACOS(PF_POI))</f>
        <v>32.8684105178863</v>
      </c>
      <c r="D5" s="2" t="s">
        <v>183</v>
      </c>
      <c r="E5" s="2"/>
      <c r="F5" s="2"/>
      <c r="G5" s="2"/>
      <c r="H5" s="2"/>
      <c r="I5" s="2"/>
      <c r="J5" s="2"/>
      <c r="K5" s="2"/>
      <c r="L5" s="2"/>
    </row>
    <row r="6" customFormat="false" ht="15" hidden="false" customHeight="false" outlineLevel="0" collapsed="false">
      <c r="A6" s="2" t="s">
        <v>355</v>
      </c>
      <c r="B6" s="2" t="s">
        <v>356</v>
      </c>
      <c r="C6" s="9" t="n">
        <f aca="false">SQRT(P_EXP^2+C5^2)</f>
        <v>105.263157894737</v>
      </c>
      <c r="D6" s="2" t="s">
        <v>80</v>
      </c>
      <c r="E6" s="2"/>
      <c r="F6" s="2"/>
      <c r="G6" s="2"/>
      <c r="H6" s="2"/>
      <c r="I6" s="2"/>
      <c r="J6" s="2"/>
      <c r="K6" s="2"/>
      <c r="L6" s="2"/>
    </row>
    <row r="7" customFormat="false" ht="15" hidden="false" customHeight="false" outlineLevel="0" collapsed="false">
      <c r="A7" s="2" t="s">
        <v>357</v>
      </c>
      <c r="B7" s="2" t="s">
        <v>358</v>
      </c>
      <c r="C7" s="9" t="n">
        <f aca="false">S_GSU*1000000/(SQRT(3)*V_HV*1000)</f>
        <v>627.554640423506</v>
      </c>
      <c r="D7" s="2" t="s">
        <v>48</v>
      </c>
      <c r="E7" s="2"/>
      <c r="F7" s="2"/>
      <c r="G7" s="2"/>
      <c r="H7" s="2"/>
      <c r="I7" s="2"/>
      <c r="J7" s="2"/>
      <c r="K7" s="2"/>
      <c r="L7" s="2"/>
    </row>
    <row r="8" customFormat="false" ht="15" hidden="false" customHeight="false" outlineLevel="0" collapsed="false">
      <c r="A8" s="2" t="s">
        <v>359</v>
      </c>
      <c r="B8" s="2" t="s">
        <v>360</v>
      </c>
      <c r="C8" s="9" t="n">
        <f aca="false">S_GSU*1000000/(SQRT(3)*V_MV*1000)</f>
        <v>2091.84880141169</v>
      </c>
      <c r="D8" s="2" t="s">
        <v>48</v>
      </c>
      <c r="E8" s="2"/>
      <c r="F8" s="2"/>
      <c r="G8" s="2"/>
      <c r="H8" s="2"/>
      <c r="I8" s="2"/>
      <c r="J8" s="2"/>
      <c r="K8" s="2"/>
      <c r="L8" s="2"/>
    </row>
    <row r="9" customFormat="false" ht="15" hidden="false" customHeight="false" outlineLevel="0" collapsed="false">
      <c r="A9" s="2" t="s">
        <v>361</v>
      </c>
      <c r="B9" s="2"/>
      <c r="C9" s="9" t="n">
        <f aca="false">C8/V_MIN</f>
        <v>2201.94610674915</v>
      </c>
      <c r="D9" s="2" t="s">
        <v>48</v>
      </c>
      <c r="E9" s="2"/>
      <c r="F9" s="2"/>
      <c r="G9" s="2"/>
      <c r="H9" s="2"/>
      <c r="I9" s="2"/>
      <c r="J9" s="2"/>
      <c r="K9" s="2"/>
      <c r="L9" s="2"/>
    </row>
    <row r="10" customFormat="false" ht="15" hidden="false" customHeight="false" outlineLevel="0" collapsed="false">
      <c r="A10" s="2" t="s">
        <v>362</v>
      </c>
      <c r="B10" s="2" t="s">
        <v>363</v>
      </c>
      <c r="C10" s="9" t="n">
        <f aca="false">C6*1000000/(SQRT(3)*0.95*V_HV*1000)</f>
        <v>556.281121705047</v>
      </c>
      <c r="D10" s="2" t="s">
        <v>48</v>
      </c>
      <c r="E10" s="2"/>
      <c r="F10" s="2"/>
      <c r="G10" s="2"/>
      <c r="H10" s="2"/>
      <c r="I10" s="2"/>
      <c r="J10" s="2"/>
      <c r="K10" s="2"/>
      <c r="L10" s="2"/>
    </row>
    <row r="11" customFormat="false" ht="15" hidden="false" customHeight="false" outlineLevel="0" collapsed="false">
      <c r="A11" s="2" t="s">
        <v>364</v>
      </c>
      <c r="B11" s="2" t="s">
        <v>365</v>
      </c>
      <c r="C11" s="9" t="n">
        <f aca="false">C8/Z_GSU/1000</f>
        <v>20.9184880141169</v>
      </c>
      <c r="D11" s="2" t="s">
        <v>366</v>
      </c>
      <c r="E11" s="2"/>
      <c r="F11" s="2"/>
      <c r="G11" s="2"/>
      <c r="H11" s="2"/>
      <c r="I11" s="2"/>
      <c r="J11" s="2"/>
      <c r="K11" s="2"/>
      <c r="L11" s="2"/>
    </row>
    <row r="12" customFormat="false" ht="15" hidden="false" customHeight="false" outlineLevel="0" collapsed="false">
      <c r="A12" s="2" t="s">
        <v>367</v>
      </c>
      <c r="B12" s="2" t="s">
        <v>368</v>
      </c>
      <c r="C12" s="9" t="n">
        <f aca="false">C7/Z_GSU/1000</f>
        <v>6.27554640423506</v>
      </c>
      <c r="D12" s="2" t="s">
        <v>366</v>
      </c>
      <c r="E12" s="2"/>
      <c r="F12" s="2"/>
      <c r="G12" s="2"/>
      <c r="H12" s="2"/>
      <c r="I12" s="2"/>
      <c r="J12" s="2"/>
      <c r="K12" s="2"/>
      <c r="L12" s="2"/>
    </row>
    <row r="13" customFormat="false" ht="15" hidden="false" customHeight="false" outlineLevel="0" collapsed="false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</row>
    <row r="14" customFormat="false" ht="15" hidden="false" customHeight="false" outlineLevel="0" collapsed="false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</row>
    <row r="15" customFormat="false" ht="23.85" hidden="false" customHeight="false" outlineLevel="0" collapsed="false">
      <c r="A15" s="6" t="s">
        <v>369</v>
      </c>
      <c r="B15" s="6" t="s">
        <v>370</v>
      </c>
      <c r="C15" s="6" t="s">
        <v>371</v>
      </c>
      <c r="D15" s="6" t="s">
        <v>372</v>
      </c>
      <c r="E15" s="6" t="s">
        <v>373</v>
      </c>
      <c r="F15" s="6" t="s">
        <v>374</v>
      </c>
      <c r="G15" s="6" t="s">
        <v>256</v>
      </c>
      <c r="H15" s="6" t="s">
        <v>375</v>
      </c>
      <c r="I15" s="6" t="s">
        <v>376</v>
      </c>
      <c r="J15" s="6" t="s">
        <v>377</v>
      </c>
      <c r="K15" s="6" t="s">
        <v>378</v>
      </c>
      <c r="L15" s="6" t="s">
        <v>379</v>
      </c>
    </row>
    <row r="16" customFormat="false" ht="15" hidden="false" customHeight="false" outlineLevel="0" collapsed="false">
      <c r="A16" s="10" t="n">
        <v>0.95</v>
      </c>
      <c r="B16" s="10" t="n">
        <v>1</v>
      </c>
      <c r="C16" s="9" t="n">
        <f aca="false">P_EXP</f>
        <v>100</v>
      </c>
      <c r="D16" s="9" t="n">
        <f aca="false">B16*$C$5</f>
        <v>32.8684105178863</v>
      </c>
      <c r="E16" s="9" t="n">
        <f aca="false">$C$6/(A16*S_GSU)</f>
        <v>0.886426592797784</v>
      </c>
      <c r="F16" s="9" t="n">
        <f aca="false">E16*S_GSU</f>
        <v>110.803324099723</v>
      </c>
      <c r="G16" s="15" t="n">
        <f aca="false">E16</f>
        <v>0.886426592797784</v>
      </c>
      <c r="H16" s="9" t="n">
        <f aca="false">E16^2*Z_GSU*S_GSU</f>
        <v>9.82190130523861</v>
      </c>
      <c r="I16" s="9" t="n">
        <f aca="false">E16^2*PCU_GSU*S_GSU</f>
        <v>0.392876052209544</v>
      </c>
      <c r="J16" s="9" t="n">
        <f aca="false">C16+I16</f>
        <v>100.39287605221</v>
      </c>
      <c r="K16" s="9" t="n">
        <f aca="false">D16+H16</f>
        <v>42.6903118231249</v>
      </c>
      <c r="L16" s="9" t="n">
        <f aca="false">SQRT(J16^2+K16^2)</f>
        <v>109.092585841522</v>
      </c>
    </row>
    <row r="17" customFormat="false" ht="15" hidden="false" customHeight="false" outlineLevel="0" collapsed="false">
      <c r="A17" s="10" t="n">
        <v>0.95</v>
      </c>
      <c r="B17" s="10" t="n">
        <v>-1</v>
      </c>
      <c r="C17" s="9" t="n">
        <f aca="false">P_EXP</f>
        <v>100</v>
      </c>
      <c r="D17" s="9" t="n">
        <f aca="false">B17*$C$5</f>
        <v>-32.8684105178863</v>
      </c>
      <c r="E17" s="9" t="n">
        <f aca="false">$C$6/(A17*S_GSU)</f>
        <v>0.886426592797784</v>
      </c>
      <c r="F17" s="9" t="n">
        <f aca="false">E17*S_GSU</f>
        <v>110.803324099723</v>
      </c>
      <c r="G17" s="15" t="n">
        <f aca="false">E17</f>
        <v>0.886426592797784</v>
      </c>
      <c r="H17" s="9" t="n">
        <f aca="false">E17^2*Z_GSU*S_GSU</f>
        <v>9.82190130523861</v>
      </c>
      <c r="I17" s="9" t="n">
        <f aca="false">E17^2*PCU_GSU*S_GSU</f>
        <v>0.392876052209544</v>
      </c>
      <c r="J17" s="9" t="n">
        <f aca="false">C17+I17</f>
        <v>100.39287605221</v>
      </c>
      <c r="K17" s="9" t="n">
        <f aca="false">D17+H17</f>
        <v>-23.0465092126477</v>
      </c>
      <c r="L17" s="9" t="n">
        <f aca="false">SQRT(J17^2+K17^2)</f>
        <v>103.004228791458</v>
      </c>
    </row>
    <row r="18" customFormat="false" ht="15" hidden="false" customHeight="false" outlineLevel="0" collapsed="false">
      <c r="A18" s="10" t="n">
        <v>1</v>
      </c>
      <c r="B18" s="10" t="n">
        <v>1</v>
      </c>
      <c r="C18" s="9" t="n">
        <f aca="false">P_EXP</f>
        <v>100</v>
      </c>
      <c r="D18" s="9" t="n">
        <f aca="false">B18*$C$5</f>
        <v>32.8684105178863</v>
      </c>
      <c r="E18" s="9" t="n">
        <f aca="false">$C$6/(A18*S_GSU)</f>
        <v>0.842105263157895</v>
      </c>
      <c r="F18" s="9" t="n">
        <f aca="false">E18*S_GSU</f>
        <v>105.263157894737</v>
      </c>
      <c r="G18" s="15" t="n">
        <f aca="false">E18</f>
        <v>0.842105263157895</v>
      </c>
      <c r="H18" s="9" t="n">
        <f aca="false">E18^2*Z_GSU*S_GSU</f>
        <v>8.86426592797784</v>
      </c>
      <c r="I18" s="9" t="n">
        <f aca="false">E18^2*PCU_GSU*S_GSU</f>
        <v>0.354570637119114</v>
      </c>
      <c r="J18" s="9" t="n">
        <f aca="false">C18+I18</f>
        <v>100.354570637119</v>
      </c>
      <c r="K18" s="9" t="n">
        <f aca="false">D18+H18</f>
        <v>41.7326764458642</v>
      </c>
      <c r="L18" s="9" t="n">
        <f aca="false">SQRT(J18^2+K18^2)</f>
        <v>108.686043865327</v>
      </c>
    </row>
    <row r="19" customFormat="false" ht="15" hidden="false" customHeight="false" outlineLevel="0" collapsed="false">
      <c r="A19" s="10" t="n">
        <v>1</v>
      </c>
      <c r="B19" s="10" t="n">
        <v>-1</v>
      </c>
      <c r="C19" s="9" t="n">
        <f aca="false">P_EXP</f>
        <v>100</v>
      </c>
      <c r="D19" s="9" t="n">
        <f aca="false">B19*$C$5</f>
        <v>-32.8684105178863</v>
      </c>
      <c r="E19" s="9" t="n">
        <f aca="false">$C$6/(A19*S_GSU)</f>
        <v>0.842105263157895</v>
      </c>
      <c r="F19" s="9" t="n">
        <f aca="false">E19*S_GSU</f>
        <v>105.263157894737</v>
      </c>
      <c r="G19" s="15" t="n">
        <f aca="false">E19</f>
        <v>0.842105263157895</v>
      </c>
      <c r="H19" s="9" t="n">
        <f aca="false">E19^2*Z_GSU*S_GSU</f>
        <v>8.86426592797784</v>
      </c>
      <c r="I19" s="9" t="n">
        <f aca="false">E19^2*PCU_GSU*S_GSU</f>
        <v>0.354570637119114</v>
      </c>
      <c r="J19" s="9" t="n">
        <f aca="false">C19+I19</f>
        <v>100.354570637119</v>
      </c>
      <c r="K19" s="9" t="n">
        <f aca="false">D19+H19</f>
        <v>-24.0041445899085</v>
      </c>
      <c r="L19" s="9" t="n">
        <f aca="false">SQRT(J19^2+K19^2)</f>
        <v>103.18545830326</v>
      </c>
    </row>
    <row r="20" customFormat="false" ht="15" hidden="false" customHeight="false" outlineLevel="0" collapsed="false">
      <c r="A20" s="10" t="n">
        <v>1.05</v>
      </c>
      <c r="B20" s="10" t="n">
        <v>1</v>
      </c>
      <c r="C20" s="9" t="n">
        <f aca="false">P_EXP</f>
        <v>100</v>
      </c>
      <c r="D20" s="9" t="n">
        <f aca="false">B20*$C$5</f>
        <v>32.8684105178863</v>
      </c>
      <c r="E20" s="9" t="n">
        <f aca="false">$C$6/(A20*S_GSU)</f>
        <v>0.802005012531328</v>
      </c>
      <c r="F20" s="9" t="n">
        <f aca="false">E20*S_GSU</f>
        <v>100.250626566416</v>
      </c>
      <c r="G20" s="15" t="n">
        <f aca="false">E20</f>
        <v>0.802005012531328</v>
      </c>
      <c r="H20" s="9" t="n">
        <f aca="false">E20^2*Z_GSU*S_GSU</f>
        <v>8.0401505015672</v>
      </c>
      <c r="I20" s="9" t="n">
        <f aca="false">E20^2*PCU_GSU*S_GSU</f>
        <v>0.321606020062688</v>
      </c>
      <c r="J20" s="9" t="n">
        <f aca="false">C20+I20</f>
        <v>100.321606020063</v>
      </c>
      <c r="K20" s="9" t="n">
        <f aca="false">D20+H20</f>
        <v>40.9085610194535</v>
      </c>
      <c r="L20" s="9" t="n">
        <f aca="false">SQRT(J20^2+K20^2)</f>
        <v>108.341750950993</v>
      </c>
    </row>
    <row r="21" customFormat="false" ht="15" hidden="false" customHeight="false" outlineLevel="0" collapsed="false">
      <c r="A21" s="10" t="n">
        <v>1.05</v>
      </c>
      <c r="B21" s="10" t="n">
        <v>-1</v>
      </c>
      <c r="C21" s="9" t="n">
        <f aca="false">P_EXP</f>
        <v>100</v>
      </c>
      <c r="D21" s="9" t="n">
        <f aca="false">B21*$C$5</f>
        <v>-32.8684105178863</v>
      </c>
      <c r="E21" s="9" t="n">
        <f aca="false">$C$6/(A21*S_GSU)</f>
        <v>0.802005012531328</v>
      </c>
      <c r="F21" s="9" t="n">
        <f aca="false">E21*S_GSU</f>
        <v>100.250626566416</v>
      </c>
      <c r="G21" s="15" t="n">
        <f aca="false">E21</f>
        <v>0.802005012531328</v>
      </c>
      <c r="H21" s="9" t="n">
        <f aca="false">E21^2*Z_GSU*S_GSU</f>
        <v>8.0401505015672</v>
      </c>
      <c r="I21" s="9" t="n">
        <f aca="false">E21^2*PCU_GSU*S_GSU</f>
        <v>0.321606020062688</v>
      </c>
      <c r="J21" s="9" t="n">
        <f aca="false">C21+I21</f>
        <v>100.321606020063</v>
      </c>
      <c r="K21" s="9" t="n">
        <f aca="false">D21+H21</f>
        <v>-24.8282600163191</v>
      </c>
      <c r="L21" s="9" t="n">
        <f aca="false">SQRT(J21^2+K21^2)</f>
        <v>103.348280730173</v>
      </c>
    </row>
    <row r="22" customFormat="false" ht="15" hidden="false" customHeight="false" outlineLevel="0" collapsed="false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</row>
    <row r="23" customFormat="false" ht="15" hidden="false" customHeight="false" outlineLevel="0" collapsed="false">
      <c r="A23" s="2" t="s">
        <v>380</v>
      </c>
      <c r="B23" s="2"/>
      <c r="C23" s="2"/>
      <c r="D23" s="2"/>
      <c r="E23" s="2"/>
      <c r="F23" s="9" t="n">
        <f aca="false">MAX(F16:F21)</f>
        <v>110.803324099723</v>
      </c>
      <c r="G23" s="2"/>
      <c r="H23" s="2"/>
      <c r="I23" s="2"/>
      <c r="J23" s="2"/>
      <c r="K23" s="2"/>
      <c r="L23" s="2"/>
    </row>
    <row r="24" customFormat="false" ht="15" hidden="false" customHeight="false" outlineLevel="0" collapsed="false">
      <c r="A24" s="2" t="s">
        <v>381</v>
      </c>
      <c r="B24" s="2"/>
      <c r="C24" s="2"/>
      <c r="D24" s="2"/>
      <c r="E24" s="2"/>
      <c r="F24" s="15" t="n">
        <f aca="false">S_GSU/F23-1</f>
        <v>0.128125</v>
      </c>
      <c r="G24" s="2"/>
      <c r="H24" s="2"/>
      <c r="I24" s="2"/>
      <c r="J24" s="2"/>
      <c r="K24" s="2"/>
      <c r="L24" s="2"/>
    </row>
    <row r="25" customFormat="false" ht="15" hidden="false" customHeight="false" outlineLevel="0" collapsed="false">
      <c r="A25" s="2" t="s">
        <v>382</v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</row>
    <row r="26" customFormat="false" ht="15" hidden="false" customHeight="false" outlineLevel="0" collapsed="false">
      <c r="A26" s="2" t="s">
        <v>383</v>
      </c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</row>
    <row r="27" customFormat="false" ht="15" hidden="false" customHeight="false" outlineLevel="0" collapsed="false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</row>
    <row r="28" customFormat="false" ht="15" hidden="false" customHeight="false" outlineLevel="0" collapsed="false">
      <c r="A28" s="6" t="s">
        <v>384</v>
      </c>
      <c r="B28" s="6" t="s">
        <v>385</v>
      </c>
      <c r="C28" s="2"/>
      <c r="D28" s="2"/>
      <c r="E28" s="2"/>
      <c r="F28" s="2"/>
      <c r="G28" s="2"/>
      <c r="H28" s="2"/>
      <c r="I28" s="2"/>
      <c r="J28" s="2"/>
      <c r="K28" s="2"/>
      <c r="L28" s="2"/>
    </row>
    <row r="29" customFormat="false" ht="15" hidden="false" customHeight="false" outlineLevel="0" collapsed="false">
      <c r="A29" s="10" t="n">
        <v>100</v>
      </c>
      <c r="B29" s="15" t="n">
        <f aca="false">$F$23/A29</f>
        <v>1.10803324099723</v>
      </c>
      <c r="C29" s="2"/>
      <c r="D29" s="2"/>
      <c r="E29" s="2"/>
      <c r="F29" s="2"/>
      <c r="G29" s="2"/>
      <c r="H29" s="2"/>
      <c r="I29" s="2"/>
      <c r="J29" s="2"/>
      <c r="K29" s="2"/>
      <c r="L29" s="2"/>
    </row>
    <row r="30" customFormat="false" ht="15" hidden="false" customHeight="false" outlineLevel="0" collapsed="false">
      <c r="A30" s="10" t="n">
        <v>112</v>
      </c>
      <c r="B30" s="15" t="n">
        <f aca="false">$F$23/A30</f>
        <v>0.989315393747527</v>
      </c>
      <c r="C30" s="2"/>
      <c r="D30" s="2"/>
      <c r="E30" s="2"/>
      <c r="F30" s="2"/>
      <c r="G30" s="2"/>
      <c r="H30" s="2"/>
      <c r="I30" s="2"/>
      <c r="J30" s="2"/>
      <c r="K30" s="2"/>
      <c r="L30" s="2"/>
    </row>
    <row r="31" customFormat="false" ht="15" hidden="false" customHeight="false" outlineLevel="0" collapsed="false">
      <c r="A31" s="10" t="n">
        <v>115</v>
      </c>
      <c r="B31" s="15" t="n">
        <f aca="false">$F$23/A31</f>
        <v>0.963507166084548</v>
      </c>
      <c r="C31" s="2"/>
      <c r="D31" s="2"/>
      <c r="E31" s="2"/>
      <c r="F31" s="2"/>
      <c r="G31" s="2"/>
      <c r="H31" s="2"/>
      <c r="I31" s="2"/>
      <c r="J31" s="2"/>
      <c r="K31" s="2"/>
      <c r="L31" s="2"/>
    </row>
    <row r="32" customFormat="false" ht="15" hidden="false" customHeight="false" outlineLevel="0" collapsed="false">
      <c r="A32" s="10" t="n">
        <v>125</v>
      </c>
      <c r="B32" s="15" t="n">
        <f aca="false">$F$23/A32</f>
        <v>0.886426592797784</v>
      </c>
      <c r="C32" s="2"/>
      <c r="D32" s="2"/>
      <c r="E32" s="2"/>
      <c r="F32" s="2"/>
      <c r="G32" s="2"/>
      <c r="H32" s="2"/>
      <c r="I32" s="2"/>
      <c r="J32" s="2"/>
      <c r="K32" s="2"/>
      <c r="L32" s="2"/>
    </row>
    <row r="33" customFormat="false" ht="15" hidden="false" customHeight="false" outlineLevel="0" collapsed="false">
      <c r="A33" s="10" t="n">
        <v>140</v>
      </c>
      <c r="B33" s="15" t="n">
        <f aca="false">$F$23/A33</f>
        <v>0.791452314998021</v>
      </c>
      <c r="C33" s="2"/>
      <c r="D33" s="2"/>
      <c r="E33" s="2"/>
      <c r="F33" s="2"/>
      <c r="G33" s="2"/>
      <c r="H33" s="2"/>
      <c r="I33" s="2"/>
      <c r="J33" s="2"/>
      <c r="K33" s="2"/>
      <c r="L33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2"/>
    <col collapsed="false" customWidth="true" hidden="false" outlineLevel="0" max="4" min="3" style="0" width="16"/>
    <col collapsed="false" customWidth="true" hidden="false" outlineLevel="0" max="8" min="5" style="0" width="12"/>
  </cols>
  <sheetData>
    <row r="1" customFormat="false" ht="17.35" hidden="false" customHeight="false" outlineLevel="0" collapsed="false">
      <c r="A1" s="1" t="s">
        <v>386</v>
      </c>
      <c r="B1" s="2"/>
      <c r="C1" s="2"/>
      <c r="D1" s="2"/>
      <c r="E1" s="2"/>
      <c r="F1" s="2"/>
      <c r="G1" s="2"/>
      <c r="H1" s="2"/>
    </row>
    <row r="2" customFormat="false" ht="15" hidden="false" customHeight="false" outlineLevel="0" collapsed="false">
      <c r="A2" s="3" t="s">
        <v>1</v>
      </c>
      <c r="B2" s="2"/>
      <c r="C2" s="2"/>
      <c r="D2" s="2"/>
      <c r="E2" s="2"/>
      <c r="F2" s="2"/>
      <c r="G2" s="2"/>
      <c r="H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</row>
    <row r="4" customFormat="false" ht="23.85" hidden="false" customHeight="false" outlineLevel="0" collapsed="false">
      <c r="A4" s="6" t="s">
        <v>387</v>
      </c>
      <c r="B4" s="6" t="s">
        <v>388</v>
      </c>
      <c r="C4" s="6" t="s">
        <v>389</v>
      </c>
      <c r="D4" s="6" t="s">
        <v>390</v>
      </c>
      <c r="E4" s="6" t="s">
        <v>391</v>
      </c>
      <c r="F4" s="6" t="s">
        <v>392</v>
      </c>
      <c r="G4" s="6" t="s">
        <v>393</v>
      </c>
      <c r="H4" s="6" t="s">
        <v>394</v>
      </c>
    </row>
    <row r="5" customFormat="false" ht="15" hidden="false" customHeight="false" outlineLevel="0" collapsed="false">
      <c r="A5" s="10" t="n">
        <v>2000</v>
      </c>
      <c r="B5" s="10" t="n">
        <v>0.08</v>
      </c>
      <c r="C5" s="9" t="n">
        <f aca="false">S_GSU/A5</f>
        <v>0.0625</v>
      </c>
      <c r="D5" s="9" t="n">
        <f aca="false">GSU_Sizing!$C$8/(C5+B5)/1000</f>
        <v>14.679640711661</v>
      </c>
      <c r="E5" s="9" t="n">
        <f aca="false">K_DFIG*WTG!$C$16/1000</f>
        <v>9.03678682209849</v>
      </c>
      <c r="F5" s="9" t="n">
        <f aca="false">K_IBR*BESS_Feeders!$C$10/1000</f>
        <v>2.11386826247918</v>
      </c>
      <c r="G5" s="9" t="n">
        <f aca="false">D5+E5+F5</f>
        <v>25.8302957962386</v>
      </c>
      <c r="H5" s="2" t="str">
        <f aca="false">IF(G5&lt;=40,"≤ 40 kA","EXCEEDS")</f>
        <v>≤ 40 kA</v>
      </c>
    </row>
    <row r="6" customFormat="false" ht="15" hidden="false" customHeight="false" outlineLevel="0" collapsed="false">
      <c r="A6" s="10" t="n">
        <v>2000</v>
      </c>
      <c r="B6" s="10" t="n">
        <v>0.1</v>
      </c>
      <c r="C6" s="9" t="n">
        <f aca="false">S_GSU/A6</f>
        <v>0.0625</v>
      </c>
      <c r="D6" s="9" t="n">
        <f aca="false">GSU_Sizing!$C$8/(C6+B6)/1000</f>
        <v>12.872915700995</v>
      </c>
      <c r="E6" s="9" t="n">
        <f aca="false">K_DFIG*WTG!$C$16/1000</f>
        <v>9.03678682209849</v>
      </c>
      <c r="F6" s="9" t="n">
        <f aca="false">K_IBR*BESS_Feeders!$C$10/1000</f>
        <v>2.11386826247918</v>
      </c>
      <c r="G6" s="9" t="n">
        <f aca="false">D6+E6+F6</f>
        <v>24.0235707855727</v>
      </c>
      <c r="H6" s="2" t="str">
        <f aca="false">IF(G6&lt;=40,"≤ 40 kA","EXCEEDS")</f>
        <v>≤ 40 kA</v>
      </c>
    </row>
    <row r="7" customFormat="false" ht="15" hidden="false" customHeight="false" outlineLevel="0" collapsed="false">
      <c r="A7" s="10" t="n">
        <v>2000</v>
      </c>
      <c r="B7" s="10" t="n">
        <v>0.12</v>
      </c>
      <c r="C7" s="9" t="n">
        <f aca="false">S_GSU/A7</f>
        <v>0.0625</v>
      </c>
      <c r="D7" s="9" t="n">
        <f aca="false">GSU_Sizing!$C$8/(C7+B7)/1000</f>
        <v>11.4621852132147</v>
      </c>
      <c r="E7" s="9" t="n">
        <f aca="false">K_DFIG*WTG!$C$16/1000</f>
        <v>9.03678682209849</v>
      </c>
      <c r="F7" s="9" t="n">
        <f aca="false">K_IBR*BESS_Feeders!$C$10/1000</f>
        <v>2.11386826247918</v>
      </c>
      <c r="G7" s="9" t="n">
        <f aca="false">D7+E7+F7</f>
        <v>22.6128402977924</v>
      </c>
      <c r="H7" s="2" t="str">
        <f aca="false">IF(G7&lt;=40,"≤ 40 kA","EXCEEDS")</f>
        <v>≤ 40 kA</v>
      </c>
    </row>
    <row r="8" customFormat="false" ht="15" hidden="false" customHeight="false" outlineLevel="0" collapsed="false">
      <c r="A8" s="10" t="n">
        <v>4000</v>
      </c>
      <c r="B8" s="10" t="n">
        <v>0.08</v>
      </c>
      <c r="C8" s="9" t="n">
        <f aca="false">S_GSU/A8</f>
        <v>0.03125</v>
      </c>
      <c r="D8" s="9" t="n">
        <f aca="false">GSU_Sizing!$C$8/(C8+B8)/1000</f>
        <v>18.8031352935882</v>
      </c>
      <c r="E8" s="9" t="n">
        <f aca="false">K_DFIG*WTG!$C$16/1000</f>
        <v>9.03678682209849</v>
      </c>
      <c r="F8" s="9" t="n">
        <f aca="false">K_IBR*BESS_Feeders!$C$10/1000</f>
        <v>2.11386826247918</v>
      </c>
      <c r="G8" s="9" t="n">
        <f aca="false">D8+E8+F8</f>
        <v>29.9537903781659</v>
      </c>
      <c r="H8" s="2" t="str">
        <f aca="false">IF(G8&lt;=40,"≤ 40 kA","EXCEEDS")</f>
        <v>≤ 40 kA</v>
      </c>
    </row>
    <row r="9" customFormat="false" ht="15" hidden="false" customHeight="false" outlineLevel="0" collapsed="false">
      <c r="A9" s="10" t="n">
        <v>4000</v>
      </c>
      <c r="B9" s="10" t="n">
        <v>0.1</v>
      </c>
      <c r="C9" s="9" t="n">
        <f aca="false">S_GSU/A9</f>
        <v>0.03125</v>
      </c>
      <c r="D9" s="9" t="n">
        <f aca="false">GSU_Sizing!$C$8/(C9+B9)/1000</f>
        <v>15.9378956298033</v>
      </c>
      <c r="E9" s="9" t="n">
        <f aca="false">K_DFIG*WTG!$C$16/1000</f>
        <v>9.03678682209849</v>
      </c>
      <c r="F9" s="9" t="n">
        <f aca="false">K_IBR*BESS_Feeders!$C$10/1000</f>
        <v>2.11386826247918</v>
      </c>
      <c r="G9" s="9" t="n">
        <f aca="false">D9+E9+F9</f>
        <v>27.088550714381</v>
      </c>
      <c r="H9" s="2" t="str">
        <f aca="false">IF(G9&lt;=40,"≤ 40 kA","EXCEEDS")</f>
        <v>≤ 40 kA</v>
      </c>
    </row>
    <row r="10" customFormat="false" ht="15" hidden="false" customHeight="false" outlineLevel="0" collapsed="false">
      <c r="A10" s="10" t="n">
        <v>4000</v>
      </c>
      <c r="B10" s="10" t="n">
        <v>0.12</v>
      </c>
      <c r="C10" s="9" t="n">
        <f aca="false">S_GSU/A10</f>
        <v>0.03125</v>
      </c>
      <c r="D10" s="9" t="n">
        <f aca="false">GSU_Sizing!$C$8/(C10+B10)/1000</f>
        <v>13.8304052985897</v>
      </c>
      <c r="E10" s="9" t="n">
        <f aca="false">K_DFIG*WTG!$C$16/1000</f>
        <v>9.03678682209849</v>
      </c>
      <c r="F10" s="9" t="n">
        <f aca="false">K_IBR*BESS_Feeders!$C$10/1000</f>
        <v>2.11386826247918</v>
      </c>
      <c r="G10" s="9" t="n">
        <f aca="false">D10+E10+F10</f>
        <v>24.9810603831673</v>
      </c>
      <c r="H10" s="2" t="str">
        <f aca="false">IF(G10&lt;=40,"≤ 40 kA","EXCEEDS")</f>
        <v>≤ 40 kA</v>
      </c>
    </row>
    <row r="11" customFormat="false" ht="15" hidden="false" customHeight="false" outlineLevel="0" collapsed="false">
      <c r="A11" s="10" t="n">
        <v>8000</v>
      </c>
      <c r="B11" s="10" t="n">
        <v>0.08</v>
      </c>
      <c r="C11" s="9" t="n">
        <f aca="false">S_GSU/A11</f>
        <v>0.015625</v>
      </c>
      <c r="D11" s="9" t="n">
        <f aca="false">GSU_Sizing!$C$8/(C11+B11)/1000</f>
        <v>21.8755430212987</v>
      </c>
      <c r="E11" s="9" t="n">
        <f aca="false">K_DFIG*WTG!$C$16/1000</f>
        <v>9.03678682209849</v>
      </c>
      <c r="F11" s="9" t="n">
        <f aca="false">K_IBR*BESS_Feeders!$C$10/1000</f>
        <v>2.11386826247918</v>
      </c>
      <c r="G11" s="9" t="n">
        <f aca="false">D11+E11+F11</f>
        <v>33.0261981058764</v>
      </c>
      <c r="H11" s="2" t="str">
        <f aca="false">IF(G11&lt;=40,"≤ 40 kA","EXCEEDS")</f>
        <v>≤ 40 kA</v>
      </c>
    </row>
    <row r="12" customFormat="false" ht="15" hidden="false" customHeight="false" outlineLevel="0" collapsed="false">
      <c r="A12" s="10" t="n">
        <v>8000</v>
      </c>
      <c r="B12" s="10" t="n">
        <v>0.1</v>
      </c>
      <c r="C12" s="9" t="n">
        <f aca="false">S_GSU/A12</f>
        <v>0.015625</v>
      </c>
      <c r="D12" s="9" t="n">
        <f aca="false">GSU_Sizing!$C$8/(C12+B12)/1000</f>
        <v>18.0916653095065</v>
      </c>
      <c r="E12" s="9" t="n">
        <f aca="false">K_DFIG*WTG!$C$16/1000</f>
        <v>9.03678682209849</v>
      </c>
      <c r="F12" s="9" t="n">
        <f aca="false">K_IBR*BESS_Feeders!$C$10/1000</f>
        <v>2.11386826247918</v>
      </c>
      <c r="G12" s="9" t="n">
        <f aca="false">D12+E12+F12</f>
        <v>29.2423203940842</v>
      </c>
      <c r="H12" s="2" t="str">
        <f aca="false">IF(G12&lt;=40,"≤ 40 kA","EXCEEDS")</f>
        <v>≤ 40 kA</v>
      </c>
    </row>
    <row r="13" customFormat="false" ht="15" hidden="false" customHeight="false" outlineLevel="0" collapsed="false">
      <c r="A13" s="10" t="n">
        <v>8000</v>
      </c>
      <c r="B13" s="10" t="n">
        <v>0.12</v>
      </c>
      <c r="C13" s="9" t="n">
        <f aca="false">S_GSU/A13</f>
        <v>0.015625</v>
      </c>
      <c r="D13" s="9" t="n">
        <f aca="false">GSU_Sizing!$C$8/(C13+B13)/1000</f>
        <v>15.4237699643258</v>
      </c>
      <c r="E13" s="9" t="n">
        <f aca="false">K_DFIG*WTG!$C$16/1000</f>
        <v>9.03678682209849</v>
      </c>
      <c r="F13" s="9" t="n">
        <f aca="false">K_IBR*BESS_Feeders!$C$10/1000</f>
        <v>2.11386826247918</v>
      </c>
      <c r="G13" s="9" t="n">
        <f aca="false">D13+E13+F13</f>
        <v>26.5744250489035</v>
      </c>
      <c r="H13" s="2" t="str">
        <f aca="false">IF(G13&lt;=40,"≤ 40 kA","EXCEEDS")</f>
        <v>≤ 40 kA</v>
      </c>
    </row>
    <row r="14" customFormat="false" ht="15" hidden="false" customHeight="false" outlineLevel="0" collapsed="false">
      <c r="A14" s="10" t="n">
        <v>1000000000</v>
      </c>
      <c r="B14" s="10" t="n">
        <v>0.08</v>
      </c>
      <c r="C14" s="9" t="n">
        <f aca="false">S_GSU/A14</f>
        <v>1.25E-007</v>
      </c>
      <c r="D14" s="9" t="n">
        <f aca="false">GSU_Sizing!$C$8/(C14+B14)/1000</f>
        <v>26.148069161288</v>
      </c>
      <c r="E14" s="9" t="n">
        <f aca="false">K_DFIG*WTG!$C$16/1000</f>
        <v>9.03678682209849</v>
      </c>
      <c r="F14" s="9" t="n">
        <f aca="false">K_IBR*BESS_Feeders!$C$10/1000</f>
        <v>2.11386826247918</v>
      </c>
      <c r="G14" s="9" t="n">
        <f aca="false">D14+E14+F14</f>
        <v>37.2987242458657</v>
      </c>
      <c r="H14" s="2" t="str">
        <f aca="false">IF(G14&lt;=40,"≤ 40 kA","EXCEEDS")</f>
        <v>≤ 40 kA</v>
      </c>
    </row>
    <row r="15" customFormat="false" ht="15" hidden="false" customHeight="false" outlineLevel="0" collapsed="false">
      <c r="A15" s="10" t="n">
        <v>1000000000</v>
      </c>
      <c r="B15" s="10" t="n">
        <v>0.1</v>
      </c>
      <c r="C15" s="9" t="n">
        <f aca="false">S_GSU/A15</f>
        <v>1.25E-007</v>
      </c>
      <c r="D15" s="9" t="n">
        <f aca="false">GSU_Sizing!$C$8/(C15+B15)/1000</f>
        <v>20.9184618660395</v>
      </c>
      <c r="E15" s="9" t="n">
        <f aca="false">K_DFIG*WTG!$C$16/1000</f>
        <v>9.03678682209849</v>
      </c>
      <c r="F15" s="9" t="n">
        <f aca="false">K_IBR*BESS_Feeders!$C$10/1000</f>
        <v>2.11386826247918</v>
      </c>
      <c r="G15" s="9" t="n">
        <f aca="false">D15+E15+F15</f>
        <v>32.0691169506172</v>
      </c>
      <c r="H15" s="2" t="str">
        <f aca="false">IF(G15&lt;=40,"≤ 40 kA","EXCEEDS")</f>
        <v>≤ 40 kA</v>
      </c>
    </row>
    <row r="16" customFormat="false" ht="15" hidden="false" customHeight="false" outlineLevel="0" collapsed="false">
      <c r="A16" s="10" t="n">
        <v>1000000000</v>
      </c>
      <c r="B16" s="10" t="n">
        <v>0.12</v>
      </c>
      <c r="C16" s="9" t="n">
        <f aca="false">S_GSU/A16</f>
        <v>1.25E-007</v>
      </c>
      <c r="D16" s="9" t="n">
        <f aca="false">GSU_Sizing!$C$8/(C16+B16)/1000</f>
        <v>17.4320551867066</v>
      </c>
      <c r="E16" s="9" t="n">
        <f aca="false">K_DFIG*WTG!$C$16/1000</f>
        <v>9.03678682209849</v>
      </c>
      <c r="F16" s="9" t="n">
        <f aca="false">K_IBR*BESS_Feeders!$C$10/1000</f>
        <v>2.11386826247918</v>
      </c>
      <c r="G16" s="9" t="n">
        <f aca="false">D16+E16+F16</f>
        <v>28.5827102712843</v>
      </c>
      <c r="H16" s="2" t="str">
        <f aca="false">IF(G16&lt;=40,"≤ 40 kA","EXCEEDS")</f>
        <v>≤ 40 kA</v>
      </c>
    </row>
    <row r="17" customFormat="false" ht="15" hidden="false" customHeight="false" outlineLevel="0" collapsed="false">
      <c r="A17" s="2"/>
      <c r="B17" s="2"/>
      <c r="C17" s="2"/>
      <c r="D17" s="2"/>
      <c r="E17" s="2"/>
      <c r="F17" s="2"/>
      <c r="G17" s="2"/>
      <c r="H17" s="2"/>
    </row>
    <row r="18" customFormat="false" ht="15" hidden="false" customHeight="false" outlineLevel="0" collapsed="false">
      <c r="A18" s="2" t="s">
        <v>395</v>
      </c>
      <c r="B18" s="2"/>
      <c r="C18" s="2"/>
      <c r="D18" s="2"/>
      <c r="E18" s="2"/>
      <c r="F18" s="2"/>
      <c r="G18" s="2"/>
      <c r="H18" s="2"/>
    </row>
    <row r="19" customFormat="false" ht="15" hidden="false" customHeight="false" outlineLevel="0" collapsed="false">
      <c r="A19" s="2" t="s">
        <v>396</v>
      </c>
      <c r="B19" s="2"/>
      <c r="C19" s="2"/>
      <c r="D19" s="2"/>
      <c r="E19" s="2"/>
      <c r="F19" s="2"/>
      <c r="G19" s="2"/>
      <c r="H19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44"/>
    <col collapsed="false" customWidth="true" hidden="false" outlineLevel="0" max="3" min="3" style="0" width="12"/>
    <col collapsed="false" customWidth="true" hidden="false" outlineLevel="0" max="4" min="4" style="0" width="52"/>
    <col collapsed="false" customWidth="true" hidden="false" outlineLevel="0" max="5" min="5" style="0" width="24"/>
  </cols>
  <sheetData>
    <row r="1" customFormat="false" ht="17.35" hidden="false" customHeight="false" outlineLevel="0" collapsed="false">
      <c r="A1" s="1" t="s">
        <v>397</v>
      </c>
      <c r="B1" s="2"/>
      <c r="C1" s="2"/>
      <c r="D1" s="2"/>
      <c r="E1" s="2"/>
    </row>
    <row r="2" customFormat="false" ht="15" hidden="false" customHeight="false" outlineLevel="0" collapsed="false">
      <c r="A2" s="3" t="s">
        <v>1</v>
      </c>
      <c r="B2" s="2"/>
      <c r="C2" s="2"/>
      <c r="D2" s="2"/>
      <c r="E2" s="2"/>
    </row>
    <row r="3" customFormat="false" ht="15" hidden="false" customHeight="false" outlineLevel="0" collapsed="false">
      <c r="A3" s="2"/>
      <c r="B3" s="2"/>
      <c r="C3" s="2"/>
      <c r="D3" s="2"/>
      <c r="E3" s="2"/>
    </row>
    <row r="4" customFormat="false" ht="15" hidden="false" customHeight="false" outlineLevel="0" collapsed="false">
      <c r="A4" s="6" t="s">
        <v>398</v>
      </c>
      <c r="B4" s="6" t="s">
        <v>399</v>
      </c>
      <c r="C4" s="6" t="s">
        <v>21</v>
      </c>
      <c r="D4" s="6" t="s">
        <v>400</v>
      </c>
      <c r="E4" s="6" t="s">
        <v>16</v>
      </c>
    </row>
    <row r="5" customFormat="false" ht="15" hidden="false" customHeight="false" outlineLevel="0" collapsed="false">
      <c r="A5" s="2" t="s">
        <v>401</v>
      </c>
      <c r="B5" s="2" t="s">
        <v>402</v>
      </c>
      <c r="C5" s="17" t="n">
        <f aca="false">GSU_Sizing!C9</f>
        <v>2201.94610674915</v>
      </c>
      <c r="D5" s="2" t="s">
        <v>403</v>
      </c>
      <c r="E5" s="2" t="s">
        <v>404</v>
      </c>
    </row>
    <row r="6" customFormat="false" ht="15" hidden="false" customHeight="false" outlineLevel="0" collapsed="false">
      <c r="A6" s="2" t="s">
        <v>405</v>
      </c>
      <c r="B6" s="2" t="s">
        <v>406</v>
      </c>
      <c r="C6" s="17" t="n">
        <f aca="false">MAX(Feeder_Sections!H12,Feeder_Sections!H38)</f>
        <v>493.235927911809</v>
      </c>
      <c r="D6" s="2" t="s">
        <v>407</v>
      </c>
      <c r="E6" s="2" t="s">
        <v>404</v>
      </c>
    </row>
    <row r="7" customFormat="false" ht="15" hidden="false" customHeight="false" outlineLevel="0" collapsed="false">
      <c r="A7" s="2" t="s">
        <v>408</v>
      </c>
      <c r="B7" s="2" t="s">
        <v>409</v>
      </c>
      <c r="C7" s="17" t="n">
        <f aca="false">BESS_Feeders!C9</f>
        <v>463.567601420873</v>
      </c>
      <c r="D7" s="2" t="s">
        <v>407</v>
      </c>
      <c r="E7" s="2" t="s">
        <v>410</v>
      </c>
    </row>
    <row r="8" customFormat="false" ht="15" hidden="false" customHeight="false" outlineLevel="0" collapsed="false">
      <c r="A8" s="2" t="s">
        <v>411</v>
      </c>
      <c r="B8" s="2" t="s">
        <v>412</v>
      </c>
      <c r="C8" s="17" t="n">
        <f aca="false">MAX(SUM(Feeder_Sections!H12,Feeder_Sections!H21,Feeder_Sections!H30,Feeder_Sections!H38),BESS_Feeders!C10/V_MIN,GSU_Sizing!C9)</f>
        <v>2201.94610674915</v>
      </c>
      <c r="D8" s="2" t="s">
        <v>403</v>
      </c>
      <c r="E8" s="2" t="s">
        <v>404</v>
      </c>
    </row>
    <row r="9" customFormat="false" ht="15" hidden="false" customHeight="false" outlineLevel="0" collapsed="false">
      <c r="A9" s="2" t="s">
        <v>413</v>
      </c>
      <c r="B9" s="2" t="s">
        <v>414</v>
      </c>
      <c r="C9" s="17" t="n">
        <f aca="false">MAX(Fault_Screening!G5:G16)</f>
        <v>37.2987242458657</v>
      </c>
      <c r="D9" s="2" t="s">
        <v>415</v>
      </c>
      <c r="E9" s="2" t="s">
        <v>416</v>
      </c>
    </row>
    <row r="10" customFormat="false" ht="15" hidden="false" customHeight="false" outlineLevel="0" collapsed="false">
      <c r="A10" s="2" t="s">
        <v>417</v>
      </c>
      <c r="B10" s="2" t="s">
        <v>418</v>
      </c>
      <c r="C10" s="17" t="n">
        <f aca="false">2.6*40</f>
        <v>104</v>
      </c>
      <c r="D10" s="2" t="s">
        <v>419</v>
      </c>
      <c r="E10" s="2" t="s">
        <v>404</v>
      </c>
    </row>
    <row r="11" customFormat="false" ht="15" hidden="false" customHeight="false" outlineLevel="0" collapsed="false">
      <c r="A11" s="2" t="s">
        <v>420</v>
      </c>
      <c r="B11" s="2" t="s">
        <v>357</v>
      </c>
      <c r="C11" s="17" t="n">
        <f aca="false">GSU_Sizing!C7</f>
        <v>627.554640423506</v>
      </c>
      <c r="D11" s="2" t="s">
        <v>421</v>
      </c>
      <c r="E11" s="2" t="s">
        <v>422</v>
      </c>
    </row>
    <row r="12" customFormat="false" ht="15" hidden="false" customHeight="false" outlineLevel="0" collapsed="false">
      <c r="A12" s="2" t="s">
        <v>423</v>
      </c>
      <c r="B12" s="2" t="s">
        <v>424</v>
      </c>
      <c r="C12" s="17" t="s">
        <v>425</v>
      </c>
      <c r="D12" s="2" t="s">
        <v>426</v>
      </c>
      <c r="E12" s="2" t="s">
        <v>427</v>
      </c>
    </row>
    <row r="13" customFormat="false" ht="15" hidden="false" customHeight="false" outlineLevel="0" collapsed="false">
      <c r="A13" s="2" t="s">
        <v>428</v>
      </c>
      <c r="B13" s="2" t="s">
        <v>429</v>
      </c>
      <c r="C13" s="17" t="n">
        <f aca="false">1.05*123/SQRT(3)</f>
        <v>74.5647872658402</v>
      </c>
      <c r="D13" s="2" t="s">
        <v>430</v>
      </c>
      <c r="E13" s="2" t="s">
        <v>404</v>
      </c>
    </row>
    <row r="14" customFormat="false" ht="15" hidden="false" customHeight="false" outlineLevel="0" collapsed="false">
      <c r="A14" s="2" t="s">
        <v>431</v>
      </c>
      <c r="B14" s="2" t="s">
        <v>432</v>
      </c>
      <c r="C14" s="17" t="n">
        <f aca="false">1.05*36.2/SQRT(3)</f>
        <v>21.9450837318977</v>
      </c>
      <c r="D14" s="2" t="s">
        <v>433</v>
      </c>
      <c r="E14" s="2" t="s">
        <v>434</v>
      </c>
    </row>
    <row r="15" customFormat="false" ht="15" hidden="false" customHeight="false" outlineLevel="0" collapsed="false">
      <c r="A15" s="2" t="s">
        <v>435</v>
      </c>
      <c r="B15" s="2" t="s">
        <v>436</v>
      </c>
      <c r="C15" s="17" t="s">
        <v>425</v>
      </c>
      <c r="D15" s="2" t="s">
        <v>437</v>
      </c>
      <c r="E15" s="2" t="s">
        <v>404</v>
      </c>
    </row>
    <row r="16" customFormat="false" ht="15" hidden="false" customHeight="false" outlineLevel="0" collapsed="false">
      <c r="A16" s="2" t="s">
        <v>438</v>
      </c>
      <c r="B16" s="2" t="s">
        <v>439</v>
      </c>
      <c r="C16" s="17" t="s">
        <v>425</v>
      </c>
      <c r="D16" s="2" t="s">
        <v>440</v>
      </c>
      <c r="E16" s="2" t="s">
        <v>404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2"/>
    <col collapsed="false" customWidth="true" hidden="false" outlineLevel="0" max="3" min="3" style="0" width="14"/>
    <col collapsed="false" customWidth="true" hidden="false" outlineLevel="0" max="5" min="4" style="0" width="12"/>
    <col collapsed="false" customWidth="true" hidden="false" outlineLevel="0" max="6" min="6" style="0" width="8"/>
    <col collapsed="false" customWidth="true" hidden="false" outlineLevel="0" max="7" min="7" style="0" width="14"/>
    <col collapsed="false" customWidth="true" hidden="false" outlineLevel="0" max="8" min="8" style="0" width="16"/>
    <col collapsed="false" customWidth="true" hidden="false" outlineLevel="0" max="10" min="9" style="0" width="13"/>
    <col collapsed="false" customWidth="true" hidden="false" outlineLevel="0" max="11" min="11" style="0" width="58"/>
  </cols>
  <sheetData>
    <row r="1" customFormat="false" ht="17.35" hidden="false" customHeight="false" outlineLevel="0" collapsed="false">
      <c r="A1" s="1" t="s">
        <v>441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customFormat="false" ht="15" hidden="false" customHeight="false" outlineLevel="0" collapsed="false">
      <c r="A2" s="3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</row>
    <row r="4" customFormat="false" ht="35.05" hidden="false" customHeight="false" outlineLevel="0" collapsed="false">
      <c r="A4" s="6" t="s">
        <v>442</v>
      </c>
      <c r="B4" s="6" t="s">
        <v>443</v>
      </c>
      <c r="C4" s="6" t="s">
        <v>444</v>
      </c>
      <c r="D4" s="6" t="s">
        <v>445</v>
      </c>
      <c r="E4" s="6" t="s">
        <v>446</v>
      </c>
      <c r="F4" s="6" t="s">
        <v>447</v>
      </c>
      <c r="G4" s="6" t="s">
        <v>448</v>
      </c>
      <c r="H4" s="6" t="s">
        <v>449</v>
      </c>
      <c r="I4" s="6" t="s">
        <v>450</v>
      </c>
      <c r="J4" s="6" t="s">
        <v>451</v>
      </c>
      <c r="K4" s="6" t="s">
        <v>452</v>
      </c>
    </row>
    <row r="5" customFormat="false" ht="15" hidden="false" customHeight="false" outlineLevel="0" collapsed="false">
      <c r="A5" s="2" t="s">
        <v>453</v>
      </c>
      <c r="B5" s="10" t="n">
        <v>102.6</v>
      </c>
      <c r="C5" s="10" t="n">
        <v>0</v>
      </c>
      <c r="D5" s="17" t="n">
        <f aca="false">B5*(1-LOSS_W)</f>
        <v>99.522</v>
      </c>
      <c r="E5" s="17" t="n">
        <f aca="false">IF(C5&gt;0,C5*(1-LOSS_B),C5*(1+LOSS_B))</f>
        <v>0</v>
      </c>
      <c r="F5" s="17" t="n">
        <f aca="false">AUX</f>
        <v>1</v>
      </c>
      <c r="G5" s="17" t="n">
        <f aca="false">D5+E5-F5</f>
        <v>98.522</v>
      </c>
      <c r="H5" s="2" t="str">
        <f aca="false">IF(AND(G5&lt;=P_EXP,G5&gt;=-P_IMP),"YES","NO — PPC limit")</f>
        <v>YES</v>
      </c>
      <c r="I5" s="17" t="n">
        <f aca="false">B5/(N_WTG*P_WTG)*WTG!$C$16</f>
        <v>1807.3573644197</v>
      </c>
      <c r="J5" s="17" t="n">
        <f aca="false">ABS(C5)/P_BESS*BESS_Feeders!$C$10</f>
        <v>0</v>
      </c>
      <c r="K5" s="2" t="s">
        <v>454</v>
      </c>
    </row>
    <row r="6" customFormat="false" ht="15" hidden="false" customHeight="false" outlineLevel="0" collapsed="false">
      <c r="A6" s="2" t="s">
        <v>455</v>
      </c>
      <c r="B6" s="10" t="n">
        <v>102.6</v>
      </c>
      <c r="C6" s="10" t="n">
        <v>-100</v>
      </c>
      <c r="D6" s="17" t="n">
        <f aca="false">B6*(1-LOSS_W)</f>
        <v>99.522</v>
      </c>
      <c r="E6" s="17" t="n">
        <f aca="false">IF(C6&gt;0,C6*(1-LOSS_B),C6*(1+LOSS_B))</f>
        <v>-101.5</v>
      </c>
      <c r="F6" s="17" t="n">
        <f aca="false">AUX</f>
        <v>1</v>
      </c>
      <c r="G6" s="17" t="n">
        <f aca="false">D6+E6-F6</f>
        <v>-2.97799999999999</v>
      </c>
      <c r="H6" s="2" t="str">
        <f aca="false">IF(AND(G6&lt;=P_EXP,G6&gt;=-P_IMP),"YES","NO — PPC limit")</f>
        <v>YES</v>
      </c>
      <c r="I6" s="17" t="n">
        <f aca="false">B6/(N_WTG*P_WTG)*WTG!$C$16</f>
        <v>1807.3573644197</v>
      </c>
      <c r="J6" s="17" t="n">
        <f aca="false">ABS(C6)/P_BESS*BESS_Feeders!$C$10</f>
        <v>1761.55688539932</v>
      </c>
      <c r="K6" s="2" t="s">
        <v>456</v>
      </c>
    </row>
    <row r="7" customFormat="false" ht="15" hidden="false" customHeight="false" outlineLevel="0" collapsed="false">
      <c r="A7" s="2" t="s">
        <v>457</v>
      </c>
      <c r="B7" s="10" t="n">
        <v>0</v>
      </c>
      <c r="C7" s="10" t="n">
        <v>100</v>
      </c>
      <c r="D7" s="17" t="n">
        <f aca="false">B7*(1-LOSS_W)</f>
        <v>0</v>
      </c>
      <c r="E7" s="17" t="n">
        <f aca="false">IF(C7&gt;0,C7*(1-LOSS_B),C7*(1+LOSS_B))</f>
        <v>98.5</v>
      </c>
      <c r="F7" s="17" t="n">
        <f aca="false">AUX</f>
        <v>1</v>
      </c>
      <c r="G7" s="17" t="n">
        <f aca="false">D7+E7-F7</f>
        <v>97.5</v>
      </c>
      <c r="H7" s="2" t="str">
        <f aca="false">IF(AND(G7&lt;=P_EXP,G7&gt;=-P_IMP),"YES","NO — PPC limit")</f>
        <v>YES</v>
      </c>
      <c r="I7" s="17" t="n">
        <f aca="false">B7/(N_WTG*P_WTG)*WTG!$C$16</f>
        <v>0</v>
      </c>
      <c r="J7" s="17" t="n">
        <f aca="false">ABS(C7)/P_BESS*BESS_Feeders!$C$10</f>
        <v>1761.55688539932</v>
      </c>
      <c r="K7" s="2" t="s">
        <v>458</v>
      </c>
    </row>
    <row r="8" customFormat="false" ht="15" hidden="false" customHeight="false" outlineLevel="0" collapsed="false">
      <c r="A8" s="2" t="s">
        <v>459</v>
      </c>
      <c r="B8" s="10" t="n">
        <v>60</v>
      </c>
      <c r="C8" s="10" t="n">
        <v>100</v>
      </c>
      <c r="D8" s="17" t="n">
        <f aca="false">B8*(1-LOSS_W)</f>
        <v>58.2</v>
      </c>
      <c r="E8" s="17" t="n">
        <f aca="false">IF(C8&gt;0,C8*(1-LOSS_B),C8*(1+LOSS_B))</f>
        <v>98.5</v>
      </c>
      <c r="F8" s="17" t="n">
        <f aca="false">AUX</f>
        <v>1</v>
      </c>
      <c r="G8" s="17" t="n">
        <f aca="false">D8+E8-F8</f>
        <v>155.7</v>
      </c>
      <c r="H8" s="2" t="str">
        <f aca="false">IF(AND(G8&lt;=P_EXP,G8&gt;=-P_IMP),"YES","NO — PPC limit")</f>
        <v>NO — PPC limit</v>
      </c>
      <c r="I8" s="17" t="n">
        <f aca="false">B8/(N_WTG*P_WTG)*WTG!$C$16</f>
        <v>1056.93413123959</v>
      </c>
      <c r="J8" s="17" t="n">
        <f aca="false">ABS(C8)/P_BESS*BESS_Feeders!$C$10</f>
        <v>1761.55688539932</v>
      </c>
      <c r="K8" s="2" t="s">
        <v>460</v>
      </c>
    </row>
    <row r="9" customFormat="false" ht="15" hidden="false" customHeight="false" outlineLevel="0" collapsed="false">
      <c r="A9" s="2" t="s">
        <v>461</v>
      </c>
      <c r="B9" s="10" t="n">
        <v>0</v>
      </c>
      <c r="C9" s="10" t="n">
        <v>-100</v>
      </c>
      <c r="D9" s="17" t="n">
        <f aca="false">B9*(1-LOSS_W)</f>
        <v>0</v>
      </c>
      <c r="E9" s="17" t="n">
        <f aca="false">IF(C9&gt;0,C9*(1-LOSS_B),C9*(1+LOSS_B))</f>
        <v>-101.5</v>
      </c>
      <c r="F9" s="17" t="n">
        <f aca="false">AUX</f>
        <v>1</v>
      </c>
      <c r="G9" s="17" t="n">
        <f aca="false">D9+E9-F9</f>
        <v>-102.5</v>
      </c>
      <c r="H9" s="2" t="str">
        <f aca="false">IF(AND(G9&lt;=P_EXP,G9&gt;=-P_IMP),"YES","NO — PPC limit")</f>
        <v>NO — PPC limit</v>
      </c>
      <c r="I9" s="17" t="n">
        <f aca="false">B9/(N_WTG*P_WTG)*WTG!$C$16</f>
        <v>0</v>
      </c>
      <c r="J9" s="17" t="n">
        <f aca="false">ABS(C9)/P_BESS*BESS_Feeders!$C$10</f>
        <v>1761.55688539932</v>
      </c>
      <c r="K9" s="2" t="s">
        <v>462</v>
      </c>
    </row>
    <row r="10" customFormat="false" ht="15" hidden="false" customHeight="false" outlineLevel="0" collapsed="false">
      <c r="A10" s="2" t="s">
        <v>463</v>
      </c>
      <c r="B10" s="10" t="n">
        <v>102.6</v>
      </c>
      <c r="C10" s="10" t="n">
        <v>20</v>
      </c>
      <c r="D10" s="17" t="n">
        <f aca="false">B10*(1-LOSS_W)</f>
        <v>99.522</v>
      </c>
      <c r="E10" s="17" t="n">
        <f aca="false">IF(C10&gt;0,C10*(1-LOSS_B),C10*(1+LOSS_B))</f>
        <v>19.7</v>
      </c>
      <c r="F10" s="17" t="n">
        <f aca="false">AUX</f>
        <v>1</v>
      </c>
      <c r="G10" s="17" t="n">
        <f aca="false">D10+E10-F10</f>
        <v>118.222</v>
      </c>
      <c r="H10" s="2" t="str">
        <f aca="false">IF(AND(G10&lt;=P_EXP,G10&gt;=-P_IMP),"YES","NO — PPC limit")</f>
        <v>NO — PPC limit</v>
      </c>
      <c r="I10" s="17" t="n">
        <f aca="false">B10/(N_WTG*P_WTG)*WTG!$C$16</f>
        <v>1807.3573644197</v>
      </c>
      <c r="J10" s="17" t="n">
        <f aca="false">ABS(C10)/P_BESS*BESS_Feeders!$C$10</f>
        <v>352.311377079863</v>
      </c>
      <c r="K10" s="2" t="s">
        <v>464</v>
      </c>
    </row>
    <row r="11" customFormat="false" ht="15" hidden="false" customHeight="false" outlineLevel="0" collapsed="false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</row>
    <row r="12" customFormat="false" ht="15" hidden="false" customHeight="false" outlineLevel="0" collapsed="false">
      <c r="A12" s="2" t="s">
        <v>465</v>
      </c>
      <c r="B12" s="2"/>
      <c r="C12" s="2"/>
      <c r="D12" s="2"/>
      <c r="E12" s="2"/>
      <c r="F12" s="2"/>
      <c r="G12" s="2"/>
      <c r="H12" s="2"/>
      <c r="I12" s="2"/>
      <c r="J12" s="2"/>
      <c r="K12" s="2"/>
    </row>
    <row r="13" customFormat="false" ht="15" hidden="false" customHeight="false" outlineLevel="0" collapsed="false">
      <c r="A13" s="2" t="s">
        <v>466</v>
      </c>
      <c r="B13" s="2"/>
      <c r="C13" s="2"/>
      <c r="D13" s="2"/>
      <c r="E13" s="2"/>
      <c r="F13" s="2"/>
      <c r="G13" s="17" t="n">
        <f aca="false">(P_IMP-AUX)/(1+LOSS_B)</f>
        <v>97.5369458128079</v>
      </c>
      <c r="H13" s="2"/>
      <c r="I13" s="2"/>
      <c r="J13" s="2"/>
      <c r="K13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3" min="2" style="0" width="14"/>
    <col collapsed="false" customWidth="true" hidden="false" outlineLevel="0" max="4" min="4" style="0" width="10"/>
    <col collapsed="false" customWidth="true" hidden="false" outlineLevel="0" max="5" min="5" style="0" width="40"/>
  </cols>
  <sheetData>
    <row r="1" customFormat="false" ht="17.35" hidden="false" customHeight="false" outlineLevel="0" collapsed="false">
      <c r="A1" s="1" t="s">
        <v>467</v>
      </c>
      <c r="B1" s="2"/>
      <c r="C1" s="2"/>
      <c r="D1" s="2"/>
      <c r="E1" s="2"/>
    </row>
    <row r="2" customFormat="false" ht="15" hidden="false" customHeight="false" outlineLevel="0" collapsed="false">
      <c r="A2" s="3" t="s">
        <v>1</v>
      </c>
      <c r="B2" s="2"/>
      <c r="C2" s="2"/>
      <c r="D2" s="2"/>
      <c r="E2" s="2"/>
    </row>
    <row r="3" customFormat="false" ht="15" hidden="false" customHeight="false" outlineLevel="0" collapsed="false">
      <c r="A3" s="2"/>
      <c r="B3" s="2"/>
      <c r="C3" s="2"/>
      <c r="D3" s="2"/>
      <c r="E3" s="2"/>
    </row>
    <row r="4" customFormat="false" ht="15" hidden="false" customHeight="false" outlineLevel="0" collapsed="false">
      <c r="A4" s="6" t="s">
        <v>177</v>
      </c>
      <c r="B4" s="6" t="s">
        <v>468</v>
      </c>
      <c r="C4" s="6" t="s">
        <v>469</v>
      </c>
      <c r="D4" s="6" t="s">
        <v>470</v>
      </c>
      <c r="E4" s="6" t="s">
        <v>471</v>
      </c>
    </row>
    <row r="5" customFormat="false" ht="15" hidden="false" customHeight="false" outlineLevel="0" collapsed="false">
      <c r="A5" s="2" t="s">
        <v>472</v>
      </c>
      <c r="B5" s="12" t="n">
        <f aca="false">WTG!C5</f>
        <v>4</v>
      </c>
      <c r="C5" s="12" t="n">
        <v>4</v>
      </c>
      <c r="D5" s="19" t="n">
        <f aca="false">IF(C5=0,0,(B5-C5)/C5)</f>
        <v>0</v>
      </c>
      <c r="E5" s="2" t="str">
        <f aca="false">IF(ABS(D5)&lt;0.005,"PASS","CHECK")</f>
        <v>PASS</v>
      </c>
    </row>
    <row r="6" customFormat="false" ht="15" hidden="false" customHeight="false" outlineLevel="0" collapsed="false">
      <c r="A6" s="2" t="s">
        <v>473</v>
      </c>
      <c r="B6" s="12" t="n">
        <f aca="false">WTG!C8</f>
        <v>3346.9580822587</v>
      </c>
      <c r="C6" s="12" t="n">
        <v>3346.958082</v>
      </c>
      <c r="D6" s="19" t="n">
        <f aca="false">IF(C6=0,0,(B6-C6)/C6)</f>
        <v>7.72941592374263E-011</v>
      </c>
      <c r="E6" s="2" t="str">
        <f aca="false">IF(ABS(D6)&lt;0.005,"PASS","CHECK")</f>
        <v>PASS</v>
      </c>
    </row>
    <row r="7" customFormat="false" ht="15" hidden="false" customHeight="false" outlineLevel="0" collapsed="false">
      <c r="A7" s="2" t="s">
        <v>474</v>
      </c>
      <c r="B7" s="12" t="n">
        <f aca="false">WTG!C11</f>
        <v>66.939161645174</v>
      </c>
      <c r="C7" s="12" t="n">
        <v>66.939162</v>
      </c>
      <c r="D7" s="19" t="n">
        <f aca="false">IF(C7=0,0,(B7-C7)/C7)</f>
        <v>-5.30072344620061E-009</v>
      </c>
      <c r="E7" s="2" t="str">
        <f aca="false">IF(ABS(D7)&lt;0.005,"PASS","CHECK")</f>
        <v>PASS</v>
      </c>
    </row>
    <row r="8" customFormat="false" ht="15" hidden="false" customHeight="false" outlineLevel="0" collapsed="false">
      <c r="A8" s="2" t="s">
        <v>475</v>
      </c>
      <c r="B8" s="12" t="n">
        <f aca="false">Feeder_Sections!G12</f>
        <v>468.574131516218</v>
      </c>
      <c r="C8" s="12" t="n">
        <v>468.574132</v>
      </c>
      <c r="D8" s="19" t="n">
        <f aca="false">IF(C8=0,0,(B8-C8)/C8)</f>
        <v>-1.03245551348324E-009</v>
      </c>
      <c r="E8" s="2" t="str">
        <f aca="false">IF(ABS(D8)&lt;0.005,"PASS","CHECK")</f>
        <v>PASS</v>
      </c>
    </row>
    <row r="9" customFormat="false" ht="15" hidden="false" customHeight="false" outlineLevel="0" collapsed="false">
      <c r="A9" s="2" t="s">
        <v>476</v>
      </c>
      <c r="B9" s="12" t="n">
        <f aca="false">Feeder_Sections!G38</f>
        <v>401.634969871044</v>
      </c>
      <c r="C9" s="12" t="n">
        <v>401.63497</v>
      </c>
      <c r="D9" s="19" t="n">
        <f aca="false">IF(C9=0,0,(B9-C9)/C9)</f>
        <v>-3.21077485772092E-010</v>
      </c>
      <c r="E9" s="2" t="str">
        <f aca="false">IF(ABS(D9)&lt;0.005,"PASS","CHECK")</f>
        <v>PASS</v>
      </c>
    </row>
    <row r="10" customFormat="false" ht="15" hidden="false" customHeight="false" outlineLevel="0" collapsed="false">
      <c r="A10" s="2" t="s">
        <v>477</v>
      </c>
      <c r="B10" s="12" t="n">
        <f aca="false">Cable_Ampacity!Z5</f>
        <v>174.01903777423</v>
      </c>
      <c r="C10" s="12" t="n">
        <v>174.019038</v>
      </c>
      <c r="D10" s="19" t="n">
        <f aca="false">IF(C10=0,0,(B10-C10)/C10)</f>
        <v>-1.29738585487454E-009</v>
      </c>
      <c r="E10" s="2" t="str">
        <f aca="false">IF(ABS(D10)&lt;0.005,"PASS","CHECK")</f>
        <v>PASS</v>
      </c>
    </row>
    <row r="11" customFormat="false" ht="15" hidden="false" customHeight="false" outlineLevel="0" collapsed="false">
      <c r="A11" s="2" t="s">
        <v>478</v>
      </c>
      <c r="B11" s="12" t="n">
        <f aca="false">Cable_Ampacity!Z8</f>
        <v>400.71111057974</v>
      </c>
      <c r="C11" s="12" t="n">
        <v>400.711111</v>
      </c>
      <c r="D11" s="19" t="n">
        <f aca="false">IF(C11=0,0,(B11-C11)/C11)</f>
        <v>-1.04878462642816E-009</v>
      </c>
      <c r="E11" s="2" t="str">
        <f aca="false">IF(ABS(D11)&lt;0.005,"PASS","CHECK")</f>
        <v>PASS</v>
      </c>
    </row>
    <row r="12" customFormat="false" ht="15" hidden="false" customHeight="false" outlineLevel="0" collapsed="false">
      <c r="A12" s="2" t="s">
        <v>479</v>
      </c>
      <c r="B12" s="12" t="n">
        <f aca="false">Cable_Ampacity!Z10</f>
        <v>572.048170424822</v>
      </c>
      <c r="C12" s="12" t="n">
        <v>572.04817</v>
      </c>
      <c r="D12" s="19" t="n">
        <f aca="false">IF(C12=0,0,(B12-C12)/C12)</f>
        <v>7.42632503470823E-010</v>
      </c>
      <c r="E12" s="2" t="str">
        <f aca="false">IF(ABS(D12)&lt;0.005,"PASS","CHECK")</f>
        <v>PASS</v>
      </c>
    </row>
    <row r="13" customFormat="false" ht="15" hidden="false" customHeight="false" outlineLevel="0" collapsed="false">
      <c r="A13" s="2" t="s">
        <v>480</v>
      </c>
      <c r="B13" s="12" t="n">
        <f aca="false">Cable_Ampacity!AC9</f>
        <v>0.0990431491587756</v>
      </c>
      <c r="C13" s="12" t="n">
        <v>0.099043</v>
      </c>
      <c r="D13" s="19" t="n">
        <f aca="false">IF(C13=0,0,(B13-C13)/C13)</f>
        <v>1.5060001779277E-006</v>
      </c>
      <c r="E13" s="2" t="str">
        <f aca="false">IF(ABS(D13)&lt;0.005,"PASS","CHECK")</f>
        <v>PASS</v>
      </c>
    </row>
    <row r="14" customFormat="false" ht="15" hidden="false" customHeight="false" outlineLevel="0" collapsed="false">
      <c r="A14" s="2" t="s">
        <v>481</v>
      </c>
      <c r="B14" s="12" t="n">
        <f aca="false">Cable_Ampacity!AD9</f>
        <v>0.137693218978132</v>
      </c>
      <c r="C14" s="12" t="n">
        <v>0.137693</v>
      </c>
      <c r="D14" s="19" t="n">
        <f aca="false">IF(C14=0,0,(B14-C14)/C14)</f>
        <v>1.59033598245688E-006</v>
      </c>
      <c r="E14" s="2" t="str">
        <f aca="false">IF(ABS(D14)&lt;0.005,"PASS","CHECK")</f>
        <v>PASS</v>
      </c>
    </row>
    <row r="15" customFormat="false" ht="15" hidden="false" customHeight="false" outlineLevel="0" collapsed="false">
      <c r="A15" s="2" t="s">
        <v>482</v>
      </c>
      <c r="B15" s="12" t="n">
        <f aca="false">Cable_Ampacity!AB10</f>
        <v>110.365147751464</v>
      </c>
      <c r="C15" s="12" t="n">
        <v>110.365148</v>
      </c>
      <c r="D15" s="19" t="n">
        <f aca="false">IF(C15=0,0,(B15-C15)/C15)</f>
        <v>-2.25194225510966E-009</v>
      </c>
      <c r="E15" s="2" t="str">
        <f aca="false">IF(ABS(D15)&lt;0.005,"PASS","CHECK")</f>
        <v>PASS</v>
      </c>
    </row>
    <row r="16" customFormat="false" ht="15" hidden="false" customHeight="false" outlineLevel="0" collapsed="false">
      <c r="A16" s="2" t="s">
        <v>483</v>
      </c>
      <c r="B16" s="12" t="n">
        <f aca="false">BESS_Feeders!C8</f>
        <v>440.389221349829</v>
      </c>
      <c r="C16" s="12" t="n">
        <v>440.389221</v>
      </c>
      <c r="D16" s="19" t="n">
        <f aca="false">IF(C16=0,0,(B16-C16)/C16)</f>
        <v>7.94363369015062E-010</v>
      </c>
      <c r="E16" s="2" t="str">
        <f aca="false">IF(ABS(D16)&lt;0.005,"PASS","CHECK")</f>
        <v>PASS</v>
      </c>
    </row>
    <row r="17" customFormat="false" ht="15" hidden="false" customHeight="false" outlineLevel="0" collapsed="false">
      <c r="A17" s="2" t="s">
        <v>484</v>
      </c>
      <c r="B17" s="12" t="n">
        <f aca="false">GSU_Sizing!C7</f>
        <v>627.554640423506</v>
      </c>
      <c r="C17" s="12" t="n">
        <v>627.55464</v>
      </c>
      <c r="D17" s="19" t="n">
        <f aca="false">IF(C17=0,0,(B17-C17)/C17)</f>
        <v>6.7485170943426E-010</v>
      </c>
      <c r="E17" s="2" t="str">
        <f aca="false">IF(ABS(D17)&lt;0.005,"PASS","CHECK")</f>
        <v>PASS</v>
      </c>
    </row>
    <row r="18" customFormat="false" ht="15" hidden="false" customHeight="false" outlineLevel="0" collapsed="false">
      <c r="A18" s="2" t="s">
        <v>485</v>
      </c>
      <c r="B18" s="12" t="n">
        <f aca="false">GSU_Sizing!C8</f>
        <v>2091.84880141169</v>
      </c>
      <c r="C18" s="12" t="n">
        <v>2091.848801</v>
      </c>
      <c r="D18" s="19" t="n">
        <f aca="false">IF(C18=0,0,(B18-C18)/C18)</f>
        <v>1.96805705451355E-010</v>
      </c>
      <c r="E18" s="2" t="str">
        <f aca="false">IF(ABS(D18)&lt;0.005,"PASS","CHECK")</f>
        <v>PASS</v>
      </c>
    </row>
    <row r="19" customFormat="false" ht="15" hidden="false" customHeight="false" outlineLevel="0" collapsed="false">
      <c r="A19" s="2" t="s">
        <v>486</v>
      </c>
      <c r="B19" s="12" t="n">
        <f aca="false">GSU_Sizing!F23</f>
        <v>110.803324099723</v>
      </c>
      <c r="C19" s="12" t="n">
        <v>110.803324</v>
      </c>
      <c r="D19" s="19" t="n">
        <f aca="false">IF(C19=0,0,(B19-C19)/C19)</f>
        <v>9.0000004045974E-010</v>
      </c>
      <c r="E19" s="2" t="str">
        <f aca="false">IF(ABS(D19)&lt;0.005,"PASS","CHECK")</f>
        <v>PASS</v>
      </c>
    </row>
    <row r="20" customFormat="false" ht="15" hidden="false" customHeight="false" outlineLevel="0" collapsed="false">
      <c r="A20" s="2" t="s">
        <v>487</v>
      </c>
      <c r="B20" s="12" t="n">
        <f aca="false">GSU_Sizing!C5</f>
        <v>32.8684105178863</v>
      </c>
      <c r="C20" s="12" t="n">
        <v>32.868411</v>
      </c>
      <c r="D20" s="19" t="n">
        <f aca="false">IF(C20=0,0,(B20-C20)/C20)</f>
        <v>-1.46679948746539E-008</v>
      </c>
      <c r="E20" s="2" t="str">
        <f aca="false">IF(ABS(D20)&lt;0.005,"PASS","CHECK")</f>
        <v>PASS</v>
      </c>
    </row>
    <row r="21" customFormat="false" ht="15" hidden="false" customHeight="false" outlineLevel="0" collapsed="false">
      <c r="A21" s="2" t="s">
        <v>488</v>
      </c>
      <c r="B21" s="12" t="n">
        <f aca="false">Fault_Screening!G15</f>
        <v>32.0691169506172</v>
      </c>
      <c r="C21" s="12" t="n">
        <v>32.069143</v>
      </c>
      <c r="D21" s="19" t="n">
        <f aca="false">IF(C21=0,0,(B21-C21)/C21)</f>
        <v>-8.12288085852164E-007</v>
      </c>
      <c r="E21" s="2" t="str">
        <f aca="false">IF(ABS(D21)&lt;0.005,"PASS","CHECK")</f>
        <v>PASS</v>
      </c>
    </row>
    <row r="22" customFormat="false" ht="15" hidden="false" customHeight="false" outlineLevel="0" collapsed="false">
      <c r="A22" s="2" t="s">
        <v>489</v>
      </c>
      <c r="B22" s="12" t="n">
        <f aca="false">SC_Withstand!E11</f>
        <v>33.2664787346439</v>
      </c>
      <c r="C22" s="12" t="n">
        <v>33.266479</v>
      </c>
      <c r="D22" s="19" t="n">
        <f aca="false">IF(C22=0,0,(B22-C22)/C22)</f>
        <v>-7.97667998249888E-009</v>
      </c>
      <c r="E22" s="2" t="str">
        <f aca="false">IF(ABS(D22)&lt;0.005,"PASS","CHECK")</f>
        <v>PASS</v>
      </c>
    </row>
    <row r="23" customFormat="false" ht="15" hidden="false" customHeight="false" outlineLevel="0" collapsed="false">
      <c r="A23" s="2" t="s">
        <v>490</v>
      </c>
      <c r="B23" s="12" t="n">
        <f aca="false">Feeder_Sections!O12*100</f>
        <v>2.57283694269348</v>
      </c>
      <c r="C23" s="12" t="n">
        <v>2.572837</v>
      </c>
      <c r="D23" s="19" t="n">
        <f aca="false">IF(C23=0,0,(B23-C23)/C23)</f>
        <v>-2.22736677143198E-008</v>
      </c>
      <c r="E23" s="2" t="str">
        <f aca="false">IF(ABS(D23)&lt;0.005,"PASS","CHECK")</f>
        <v>PASS</v>
      </c>
    </row>
    <row r="24" customFormat="false" ht="15" hidden="false" customHeight="false" outlineLevel="0" collapsed="false">
      <c r="A24" s="2" t="s">
        <v>491</v>
      </c>
      <c r="B24" s="12" t="n">
        <f aca="false">Feeder_Sections!P12/1000</f>
        <v>0.390418740415621</v>
      </c>
      <c r="C24" s="12" t="n">
        <v>0.390419</v>
      </c>
      <c r="D24" s="19" t="n">
        <f aca="false">IF(C24=0,0,(B24-C24)/C24)</f>
        <v>-6.6488664498297E-007</v>
      </c>
      <c r="E24" s="2" t="str">
        <f aca="false">IF(ABS(D24)&lt;0.005,"PASS","CHECK")</f>
        <v>PASS</v>
      </c>
    </row>
    <row r="25" customFormat="false" ht="15" hidden="false" customHeight="false" outlineLevel="0" collapsed="false">
      <c r="A25" s="2" t="s">
        <v>492</v>
      </c>
      <c r="B25" s="12" t="n">
        <f aca="false">Cable_Ampacity!AF10</f>
        <v>524.03581298967</v>
      </c>
      <c r="C25" s="12" t="n">
        <v>524.035813</v>
      </c>
      <c r="D25" s="19" t="n">
        <f aca="false">IF(C25=0,0,(B25-C25)/C25)</f>
        <v>-1.97131219412481E-011</v>
      </c>
      <c r="E25" s="2" t="str">
        <f aca="false">IF(ABS(D25)&lt;0.005,"PASS","CHECK")</f>
        <v>PASS</v>
      </c>
    </row>
    <row r="26" customFormat="false" ht="15" hidden="false" customHeight="false" outlineLevel="0" collapsed="false">
      <c r="A26" s="2" t="s">
        <v>493</v>
      </c>
      <c r="B26" s="12" t="n">
        <f aca="false">POI_Scenarios!G6</f>
        <v>-2.97799999999999</v>
      </c>
      <c r="C26" s="12" t="n">
        <v>-2.978</v>
      </c>
      <c r="D26" s="19" t="n">
        <f aca="false">IF(C26=0,0,(B26-C26)/C26)</f>
        <v>-0</v>
      </c>
      <c r="E26" s="2" t="str">
        <f aca="false">IF(ABS(D26)&lt;0.005,"PASS","CHECK")</f>
        <v>PASS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2026-10-13T17:36:34Z</dcterms:created>
  <dc:creator>openpyxl</dc:creator>
  <dc:description/>
  <dc:language>en-US</dc:language>
  <cp:lastModifiedBy/>
  <dcterms:modified xsi:type="dcterms:W3CDTF">2026-10-13T17:36:34Z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